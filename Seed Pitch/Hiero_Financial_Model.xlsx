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Valuation and Ask" sheetId="2" state="visible" r:id="rId4"/>
    <sheet name="Revenue" sheetId="3" state="visible" r:id="rId5"/>
    <sheet name="P&amp;L and Cash" sheetId="4" state="visible" r:id="rId6"/>
    <sheet name="Market TAM SAM SOM" sheetId="5" state="visible" r:id="rId7"/>
    <sheet name="Pricing" sheetId="6" state="visible" r:id="rId8"/>
    <sheet name="Competitors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<sst xmlns="http://schemas.openxmlformats.org/spreadsheetml/2006/main" count="426" uniqueCount="286">
  <si>
    <t xml:space="preserve">Hiero — 5-Year Model Assumptions</t>
  </si>
  <si>
    <t xml:space="preserve">Blue = input you can change · Yellow = key assumption to defend on stage · All other sheets recalculate from here</t>
  </si>
  <si>
    <t xml:space="preserve">Driver</t>
  </si>
  <si>
    <t xml:space="preserve">Unit</t>
  </si>
  <si>
    <t xml:space="preserve">Y1 (2027)</t>
  </si>
  <si>
    <t xml:space="preserve">Y2 (2028)</t>
  </si>
  <si>
    <t xml:space="preserve">Y3 (2029)</t>
  </si>
  <si>
    <t xml:space="preserve">Y4 (2030)</t>
  </si>
  <si>
    <t xml:space="preserve">Y5 (2031)</t>
  </si>
  <si>
    <t xml:space="preserve">Basis / note</t>
  </si>
  <si>
    <t xml:space="preserve">Users (B2C)</t>
  </si>
  <si>
    <t xml:space="preserve">Registered users (cumulative, year end)</t>
  </si>
  <si>
    <t xml:space="preserve">users</t>
  </si>
  <si>
    <t xml:space="preserve">Plan. Today: &lt;500 users. Benchmark: Unstop crossed 20M users (Feb 2025).</t>
  </si>
  <si>
    <t xml:space="preserve">Active users (% of registered)</t>
  </si>
  <si>
    <t xml:space="preserve">%</t>
  </si>
  <si>
    <t xml:space="preserve">Assumption: yearly-active share of registered base</t>
  </si>
  <si>
    <t xml:space="preserve">Paid conversion (% of active)</t>
  </si>
  <si>
    <t xml:space="preserve">Assumption: freemium consumer apps typically 2–5%</t>
  </si>
  <si>
    <t xml:space="preserve">Blended revenue per paying user / year</t>
  </si>
  <si>
    <t xml:space="preserve">₹</t>
  </si>
  <si>
    <t xml:space="preserve">Mix of Pro ₹149/month and ₹999/year plans (see Pricing)</t>
  </si>
  <si>
    <t xml:space="preserve">Pay-per-use revenue per active user / year</t>
  </si>
  <si>
    <t xml:space="preserve">Template unlocks ₹25, Hiero Eval certificate ₹99, interview packs</t>
  </si>
  <si>
    <t xml:space="preserve">Colleges (HieroBridge, B2B)</t>
  </si>
  <si>
    <t xml:space="preserve">Partner colleges (paying)</t>
  </si>
  <si>
    <t xml:space="preserve">#</t>
  </si>
  <si>
    <t xml:space="preserve">India has 48,246 colleges (AISHE 2023-24)</t>
  </si>
  <si>
    <t xml:space="preserve">Average annual contract per college</t>
  </si>
  <si>
    <t xml:space="preserve">≈ ₹300 per student × 500–830 final-year students</t>
  </si>
  <si>
    <t xml:space="preserve">Recruiters (HieroConnect, B2B)</t>
  </si>
  <si>
    <t xml:space="preserve">Paying recruiters / companies</t>
  </si>
  <si>
    <t xml:space="preserve">Startups + mid-size firms hiring freshers</t>
  </si>
  <si>
    <t xml:space="preserve">Average annual revenue per recruiter</t>
  </si>
  <si>
    <t xml:space="preserve">Job-post packs + per-hire fees (see Pricing)</t>
  </si>
  <si>
    <t xml:space="preserve">Costs</t>
  </si>
  <si>
    <t xml:space="preserve">Headcount (year end)</t>
  </si>
  <si>
    <t xml:space="preserve">Y1 = current core team of 8</t>
  </si>
  <si>
    <t xml:space="preserve">Average cost per head / year</t>
  </si>
  <si>
    <t xml:space="preserve">Y1 stipend-level; market salaries from Y2</t>
  </si>
  <si>
    <t xml:space="preserve">AI + cloud cost per active user / year</t>
  </si>
  <si>
    <t xml:space="preserve">Groq inference + hosting + MongoDB; falls with scale</t>
  </si>
  <si>
    <t xml:space="preserve">Marketing &amp; growth spend</t>
  </si>
  <si>
    <t xml:space="preserve">₹ lakh</t>
  </si>
  <si>
    <t xml:space="preserve">Campus ambassadors, content, events, performance ads</t>
  </si>
  <si>
    <t xml:space="preserve">B2B sales cost (% of college + recruiter revenue)</t>
  </si>
  <si>
    <t xml:space="preserve">Commissions, travel, demos</t>
  </si>
  <si>
    <t xml:space="preserve">Payment gateway fees (% of B2C revenue)</t>
  </si>
  <si>
    <t xml:space="preserve">Razorpay standard ≈ 2%</t>
  </si>
  <si>
    <t xml:space="preserve">G&amp;A (legal, compliance, tools, office)</t>
  </si>
  <si>
    <t xml:space="preserve">Tax rate on positive profit (simplified)</t>
  </si>
  <si>
    <t xml:space="preserve">Simplified: ignores loss carry-forward</t>
  </si>
  <si>
    <t xml:space="preserve">Funding &amp; valuation</t>
  </si>
  <si>
    <t xml:space="preserve">Seed raise (the ask)</t>
  </si>
  <si>
    <t xml:space="preserve">₹1.2 crore</t>
  </si>
  <si>
    <t xml:space="preserve">Equity offered</t>
  </si>
  <si>
    <t xml:space="preserve">Seed rounds in India typically dilute 15–20%</t>
  </si>
  <si>
    <t xml:space="preserve">Future dilution before exit (Series A/B)</t>
  </si>
  <si>
    <t xml:space="preserve">Assumption</t>
  </si>
  <si>
    <t xml:space="preserve">Exit EV / Revenue multiple</t>
  </si>
  <si>
    <t xml:space="preserve">x</t>
  </si>
  <si>
    <t xml:space="preserve">Conservative for HR-tech / edtech SaaS</t>
  </si>
  <si>
    <t xml:space="preserve">Rupees per lakh</t>
  </si>
  <si>
    <t xml:space="preserve">Unit conversion</t>
  </si>
  <si>
    <t xml:space="preserve">Rupees per crore</t>
  </si>
  <si>
    <t xml:space="preserve">The Ask, Valuation &amp; Investor Returns</t>
  </si>
  <si>
    <t xml:space="preserve">Targets, not promises — returns depend on execution and later rounds</t>
  </si>
  <si>
    <t xml:space="preserve">Item</t>
  </si>
  <si>
    <t xml:space="preserve">Value</t>
  </si>
  <si>
    <t xml:space="preserve">How it's calculated</t>
  </si>
  <si>
    <t xml:space="preserve">Input</t>
  </si>
  <si>
    <t xml:space="preserve">Post-money valuation</t>
  </si>
  <si>
    <t xml:space="preserve">₹ crore</t>
  </si>
  <si>
    <t xml:space="preserve">Raise ÷ equity</t>
  </si>
  <si>
    <t xml:space="preserve">Pre-money valuation</t>
  </si>
  <si>
    <t xml:space="preserve">Post-money − raise</t>
  </si>
  <si>
    <t xml:space="preserve">Year-5 revenue</t>
  </si>
  <si>
    <t xml:space="preserve">From Revenue sheet</t>
  </si>
  <si>
    <t xml:space="preserve">Implied company value in Year 5</t>
  </si>
  <si>
    <t xml:space="preserve">Revenue × multiple</t>
  </si>
  <si>
    <t xml:space="preserve">Investor stake after future dilution</t>
  </si>
  <si>
    <t xml:space="preserve">Equity × (1 − later dilution)</t>
  </si>
  <si>
    <t xml:space="preserve">Value of investor stake in Year 5</t>
  </si>
  <si>
    <t xml:space="preserve">Target multiple on investment (MOIC)</t>
  </si>
  <si>
    <t xml:space="preserve">Stake value ÷ investment</t>
  </si>
  <si>
    <t xml:space="preserve">Target IRR over 5 years</t>
  </si>
  <si>
    <t xml:space="preserve">MOIC^(1/5) − 1</t>
  </si>
  <si>
    <t xml:space="preserve">Use of funds</t>
  </si>
  <si>
    <t xml:space="preserve">Share</t>
  </si>
  <si>
    <t xml:space="preserve">What it buys</t>
  </si>
  <si>
    <t xml:space="preserve">Product &amp; engineering</t>
  </si>
  <si>
    <t xml:space="preserve">Ship paywall, Hiero Eval, HieroBridge &amp; HieroConnect v1; 3 engineers for 24 months</t>
  </si>
  <si>
    <t xml:space="preserve">Growth &amp; marketing</t>
  </si>
  <si>
    <t xml:space="preserve">Campus ambassadors in 50 colleges, content, hackathon/placement events</t>
  </si>
  <si>
    <t xml:space="preserve">B2B sales &amp; college partnerships</t>
  </si>
  <si>
    <t xml:space="preserve">First 30 college contracts and 60 paying recruiters</t>
  </si>
  <si>
    <t xml:space="preserve">AI &amp; cloud infrastructure</t>
  </si>
  <si>
    <t xml:space="preserve">Inference, hosting and storage for 2 lakh users</t>
  </si>
  <si>
    <t xml:space="preserve">Legal, compliance &amp; operations</t>
  </si>
  <si>
    <t xml:space="preserve">Incorporation, DPIIT, data-protection (DPDP Act) compliance, accounting</t>
  </si>
  <si>
    <t xml:space="preserve">Total</t>
  </si>
  <si>
    <t xml:space="preserve">Revenue Build (₹ lakh unless stated)</t>
  </si>
  <si>
    <t xml:space="preserve">Every figure is a formula driven by the Assumptions sheet</t>
  </si>
  <si>
    <t xml:space="preserve">Line</t>
  </si>
  <si>
    <t xml:space="preserve">User base</t>
  </si>
  <si>
    <t xml:space="preserve">Registered users</t>
  </si>
  <si>
    <t xml:space="preserve">Active users</t>
  </si>
  <si>
    <t xml:space="preserve">Registered × active %</t>
  </si>
  <si>
    <t xml:space="preserve">Paying subscribers</t>
  </si>
  <si>
    <t xml:space="preserve">Active × paid conversion</t>
  </si>
  <si>
    <t xml:space="preserve">Revenue streams</t>
  </si>
  <si>
    <t xml:space="preserve">1. Hiero Pro subscriptions (B2C)</t>
  </si>
  <si>
    <t xml:space="preserve">Paying × revenue per payer</t>
  </si>
  <si>
    <t xml:space="preserve">2. Pay-per-use (templates, Eval certificates, interview packs)</t>
  </si>
  <si>
    <t xml:space="preserve">Active × pay-per-use per active</t>
  </si>
  <si>
    <t xml:space="preserve">3. HieroBridge college licences (B2B)</t>
  </si>
  <si>
    <t xml:space="preserve">Colleges × contract</t>
  </si>
  <si>
    <t xml:space="preserve">4. HieroConnect recruiter fees (B2B)</t>
  </si>
  <si>
    <t xml:space="preserve">Recruiters × revenue per recruiter</t>
  </si>
  <si>
    <t xml:space="preserve">Total revenue</t>
  </si>
  <si>
    <t xml:space="preserve">YoY growth</t>
  </si>
  <si>
    <t xml:space="preserve">Revenue mix</t>
  </si>
  <si>
    <t xml:space="preserve">B2C share (1+2)</t>
  </si>
  <si>
    <t xml:space="preserve">B2B share (3+4)</t>
  </si>
  <si>
    <t xml:space="preserve">Profit &amp; Loss and Cash (₹ lakh)</t>
  </si>
  <si>
    <t xml:space="preserve">Seed of ₹1.2 crore lands at the start of Y1</t>
  </si>
  <si>
    <t xml:space="preserve">Revenue</t>
  </si>
  <si>
    <t xml:space="preserve">Operating costs</t>
  </si>
  <si>
    <t xml:space="preserve">Team salaries</t>
  </si>
  <si>
    <t xml:space="preserve">Headcount × cost per head</t>
  </si>
  <si>
    <t xml:space="preserve">AI + cloud infrastructure</t>
  </si>
  <si>
    <t xml:space="preserve">Active users × cost per active</t>
  </si>
  <si>
    <t xml:space="preserve">Marketing &amp; growth</t>
  </si>
  <si>
    <t xml:space="preserve">B2B sales cost</t>
  </si>
  <si>
    <t xml:space="preserve">% of B2B revenue</t>
  </si>
  <si>
    <t xml:space="preserve">Payment gateway fees</t>
  </si>
  <si>
    <t xml:space="preserve">% of B2C revenue</t>
  </si>
  <si>
    <t xml:space="preserve">G&amp;A</t>
  </si>
  <si>
    <t xml:space="preserve">Total operating costs</t>
  </si>
  <si>
    <t xml:space="preserve">EBITDA</t>
  </si>
  <si>
    <t xml:space="preserve">Revenue − costs</t>
  </si>
  <si>
    <t xml:space="preserve">EBITDA margin</t>
  </si>
  <si>
    <t xml:space="preserve">Tax</t>
  </si>
  <si>
    <t xml:space="preserve">Simplified</t>
  </si>
  <si>
    <t xml:space="preserve">Net profit / (loss)</t>
  </si>
  <si>
    <t xml:space="preserve">Cash</t>
  </si>
  <si>
    <t xml:space="preserve">Opening cash</t>
  </si>
  <si>
    <t xml:space="preserve">Seed funding received</t>
  </si>
  <si>
    <t xml:space="preserve">The ask, received in Y1</t>
  </si>
  <si>
    <t xml:space="preserve">Closing cash</t>
  </si>
  <si>
    <t xml:space="preserve">Cumulative burn funded by seed</t>
  </si>
  <si>
    <t xml:space="preserve">Losses to date</t>
  </si>
  <si>
    <t xml:space="preserve">Check: lowest closing cash across 5 years (must stay positive)</t>
  </si>
  <si>
    <t xml:space="preserve">Market Sizing — TAM, SAM, SOM</t>
  </si>
  <si>
    <t xml:space="preserve">India-only, bottom-up. Blue = input with source</t>
  </si>
  <si>
    <t xml:space="preserve">Source</t>
  </si>
  <si>
    <t xml:space="preserve">Students enrolled in higher education</t>
  </si>
  <si>
    <t xml:space="preserve">students</t>
  </si>
  <si>
    <t xml:space="preserve">AISHE 2023-24 (Ministry of Education): ~4.5 crore</t>
  </si>
  <si>
    <t xml:space="preserve">Students passing out every year</t>
  </si>
  <si>
    <t xml:space="preserve">AISHE 2022-23 &amp; 2023-24: ~1.09–1.1 crore out-turn per year</t>
  </si>
  <si>
    <t xml:space="preserve">Colleges in India</t>
  </si>
  <si>
    <t xml:space="preserve">colleges</t>
  </si>
  <si>
    <t xml:space="preserve">AISHE 2023-24</t>
  </si>
  <si>
    <t xml:space="preserve">Colleges we can realistically serve (placement cell, professional courses)</t>
  </si>
  <si>
    <t xml:space="preserve">Assumption: ~1 in 5 colleges</t>
  </si>
  <si>
    <t xml:space="preserve">Annual career-prep spend per student</t>
  </si>
  <si>
    <t xml:space="preserve">Assumption: resume + interview + one certification per year</t>
  </si>
  <si>
    <t xml:space="preserve">Annual contract per college</t>
  </si>
  <si>
    <t xml:space="preserve">Assumption (matches Y1 pricing)</t>
  </si>
  <si>
    <t xml:space="preserve">Layer</t>
  </si>
  <si>
    <t xml:space="preserve">Definition</t>
  </si>
  <si>
    <t xml:space="preserve">TAM — Total Addressable Market</t>
  </si>
  <si>
    <t xml:space="preserve">All higher-ed students × spend + every college × contract</t>
  </si>
  <si>
    <t xml:space="preserve">SAM — Serviceable Available Market</t>
  </si>
  <si>
    <t xml:space="preserve">Students graduating each year (job-hunting) + colleges with placement cells</t>
  </si>
  <si>
    <t xml:space="preserve">SOM — Serviceable Obtainable Market (Y5 revenue)</t>
  </si>
  <si>
    <t xml:space="preserve">What Hiero plans to capture by Year 5</t>
  </si>
  <si>
    <t xml:space="preserve">SOM as % of SAM</t>
  </si>
  <si>
    <t xml:space="preserve">Share of SAM needed to hit the plan</t>
  </si>
  <si>
    <t xml:space="preserve">Context: India's online higher-education &amp; upskilling market was ₹30,000 crore in FY23, projected ₹85,000 crore by FY28 (23.1% CAGR) — Technopak via BusinessWorld.</t>
  </si>
  <si>
    <t xml:space="preserve">Pricing Modules</t>
  </si>
  <si>
    <t xml:space="preserve">India-first pricing. Current live promo on hiero.in: template packs at ₹9 / ₹25</t>
  </si>
  <si>
    <t xml:space="preserve">Module</t>
  </si>
  <si>
    <t xml:space="preserve">Who pays</t>
  </si>
  <si>
    <t xml:space="preserve">Price (₹)</t>
  </si>
  <si>
    <t xml:space="preserve">Billing</t>
  </si>
  <si>
    <t xml:space="preserve">What's included</t>
  </si>
  <si>
    <t xml:space="preserve">Hiero Free</t>
  </si>
  <si>
    <t xml:space="preserve">Student</t>
  </si>
  <si>
    <t xml:space="preserve">—</t>
  </si>
  <si>
    <t xml:space="preserve">3 resume analyses/month, 1 mock interview, 5 templates, skill-gap report</t>
  </si>
  <si>
    <t xml:space="preserve">Hiero Pro — monthly</t>
  </si>
  <si>
    <t xml:space="preserve">per month</t>
  </si>
  <si>
    <t xml:space="preserve">Unlimited analyses &amp; JD match, unlimited mock interviews, all 25+ templates, learning paths</t>
  </si>
  <si>
    <t xml:space="preserve">Hiero Pro — annual</t>
  </si>
  <si>
    <t xml:space="preserve">per year</t>
  </si>
  <si>
    <t xml:space="preserve">Everything in Pro, ~44% cheaper than monthly</t>
  </si>
  <si>
    <t xml:space="preserve">Template unlock</t>
  </si>
  <si>
    <t xml:space="preserve">one-time</t>
  </si>
  <si>
    <t xml:space="preserve">Premium template pack</t>
  </si>
  <si>
    <t xml:space="preserve">Hiero Eval certificate</t>
  </si>
  <si>
    <t xml:space="preserve">per skill</t>
  </si>
  <si>
    <t xml:space="preserve">Verified skill test (L1–L3) + named certificate recruiters can trust</t>
  </si>
  <si>
    <t xml:space="preserve">Mock interview pack</t>
  </si>
  <si>
    <t xml:space="preserve">5 interviews</t>
  </si>
  <si>
    <t xml:space="preserve">Voice AI interviews with scorecard, for free users</t>
  </si>
  <si>
    <t xml:space="preserve">Earn Pro with Hiero Credits</t>
  </si>
  <si>
    <t xml:space="preserve">XP-based</t>
  </si>
  <si>
    <t xml:space="preserve">Finish learning/quizzes to unlock Pro free — keeps it fair for students who can't pay</t>
  </si>
  <si>
    <t xml:space="preserve">HieroBridge — college licence</t>
  </si>
  <si>
    <t xml:space="preserve">College</t>
  </si>
  <si>
    <t xml:space="preserve">per student / year</t>
  </si>
  <si>
    <t xml:space="preserve">Placement dashboard, readiness scores, bulk resume + interview access (min ₹1.5 lakh/year)</t>
  </si>
  <si>
    <t xml:space="preserve">HieroConnect — job post pack</t>
  </si>
  <si>
    <t xml:space="preserve">Recruiter</t>
  </si>
  <si>
    <t xml:space="preserve">5 job posts</t>
  </si>
  <si>
    <t xml:space="preserve">Post roles, AI-ranked shortlist by verified skills</t>
  </si>
  <si>
    <t xml:space="preserve">HieroConnect — hiring plan</t>
  </si>
  <si>
    <t xml:space="preserve">Unlimited posts, campus drives through HieroBridge, interview links</t>
  </si>
  <si>
    <t xml:space="preserve">HieroConnect — per-hire fee</t>
  </si>
  <si>
    <t xml:space="preserve">per hire</t>
  </si>
  <si>
    <t xml:space="preserve">Pay only when a fresher is hired (optional model)</t>
  </si>
  <si>
    <t xml:space="preserve">Competitor Analysis</t>
  </si>
  <si>
    <t xml:space="preserve">Public information, checked Sep 2026. Ticks = offers the capability end-to-end</t>
  </si>
  <si>
    <t xml:space="preserve">Player</t>
  </si>
  <si>
    <t xml:space="preserve">What they do</t>
  </si>
  <si>
    <t xml:space="preserve">Price to student</t>
  </si>
  <si>
    <t xml:space="preserve">Resume score vs JD</t>
  </si>
  <si>
    <t xml:space="preserve">AI mock interview</t>
  </si>
  <si>
    <t xml:space="preserve">Verified skills</t>
  </si>
  <si>
    <t xml:space="preserve">College portal</t>
  </si>
  <si>
    <t xml:space="preserve">Recruiter portal</t>
  </si>
  <si>
    <t xml:space="preserve">Gap Hiero fills</t>
  </si>
  <si>
    <t xml:space="preserve">Hiero</t>
  </si>
  <si>
    <t xml:space="preserve">Closed loop: detect gap → learn → prove → match → interview</t>
  </si>
  <si>
    <t xml:space="preserve">Free / ₹149 mo</t>
  </si>
  <si>
    <t xml:space="preserve">✔</t>
  </si>
  <si>
    <t xml:space="preserve">Naukri (Info Edge)</t>
  </si>
  <si>
    <t xml:space="preserve">Job board + paid visibility &amp; resume services</t>
  </si>
  <si>
    <t xml:space="preserve">Paid tiers from ~₹1,000</t>
  </si>
  <si>
    <t xml:space="preserve">Partial</t>
  </si>
  <si>
    <t xml:space="preserve">✘</t>
  </si>
  <si>
    <t xml:space="preserve">Pays for visibility, doesn't fix the resume or skills</t>
  </si>
  <si>
    <t xml:space="preserve">Unstop</t>
  </si>
  <si>
    <t xml:space="preserve">Competitions, hackathons, hiring for students (20M users)</t>
  </si>
  <si>
    <t xml:space="preserve">Mostly free</t>
  </si>
  <si>
    <t xml:space="preserve">No personal gap-to-skill loop</t>
  </si>
  <si>
    <t xml:space="preserve">Internshala</t>
  </si>
  <si>
    <t xml:space="preserve">Internships + paid trainings (₹1,300–1,500 courses)</t>
  </si>
  <si>
    <t xml:space="preserve">₹1,300+ per course</t>
  </si>
  <si>
    <t xml:space="preserve">Courses not tied to a specific JD gap</t>
  </si>
  <si>
    <t xml:space="preserve">Superset (Great Learning)</t>
  </si>
  <si>
    <t xml:space="preserve">Campus placement management software</t>
  </si>
  <si>
    <t xml:space="preserve">Free to student (college pays)</t>
  </si>
  <si>
    <t xml:space="preserve">No student preparation layer</t>
  </si>
  <si>
    <t xml:space="preserve">Final Round AI</t>
  </si>
  <si>
    <t xml:space="preserve">Global AI interview copilot + mock interviews</t>
  </si>
  <si>
    <t xml:space="preserve">~$25/month (~₹2,100)</t>
  </si>
  <si>
    <t xml:space="preserve">Too expensive for Indian students; no campus link</t>
  </si>
  <si>
    <t xml:space="preserve">ChatGPT / generic AI</t>
  </si>
  <si>
    <t xml:space="preserve">DIY resume and interview prompts</t>
  </si>
  <si>
    <t xml:space="preserve">Free / ₹1,999 mo</t>
  </si>
  <si>
    <t xml:space="preserve">Unstructured, no verified proof recruiters trust</t>
  </si>
  <si>
    <t xml:space="preserve">Sources</t>
  </si>
  <si>
    <t xml:space="preserve">Every external number in this workbook and the deck</t>
  </si>
  <si>
    <t xml:space="preserve">AISHE 2021-22 summary (43.3M enrolment)</t>
  </si>
  <si>
    <t xml:space="preserve">https://educationforallinindia.com/all-india-survey-of-higher-education-aishe-2021-22-summary-of-major-findings/</t>
  </si>
  <si>
    <t xml:space="preserve">AISHE 2022-23 &amp; 2023-24 analysis (4.5 cr enrolment, ~1.1 cr out-turn, 48,246 colleges)</t>
  </si>
  <si>
    <t xml:space="preserve">https://educationforallinindia.com/analysis-of-aishe-2022-23-and-2023-24-data-by-arun-c-mehta/</t>
  </si>
  <si>
    <t xml:space="preserve">India Skills Report 2025 (~55% of graduates employable)</t>
  </si>
  <si>
    <t xml:space="preserve">https://vajiramandravi.com/current-affairs/india-skills-report-2025/</t>
  </si>
  <si>
    <t xml:space="preserve">Technopak via BusinessWorld: online higher-ed &amp; upskilling ₹30k cr FY23 → ₹85k cr FY28</t>
  </si>
  <si>
    <t xml:space="preserve">https://businessworld.in/article/online-higher-education-and-upskilling-market-to-grow-at-a-cagr-of-231-to-85000-crore-by-fy28-539407</t>
  </si>
  <si>
    <t xml:space="preserve">Unstop crosses 20M users (Feb 2025)</t>
  </si>
  <si>
    <t xml:space="preserve">https://india.entrepreneur.com/news-and-trends/youth-engagement-and-hiring-platform-unstop-hits-user/486547</t>
  </si>
  <si>
    <t xml:space="preserve">Internshala business model &amp; course pricing</t>
  </si>
  <si>
    <t xml:space="preserve">https://yourstory.com/2022/07/internshala-blog-profitable-intership-skilling-career-tech-startup/amp</t>
  </si>
  <si>
    <t xml:space="preserve">Naukri paid services (~₹1,000+)</t>
  </si>
  <si>
    <t xml:space="preserve">https://goodspace.ai/guides/naukri-paid-services-worth-it</t>
  </si>
  <si>
    <t xml:space="preserve">Final Round AI pricing (~$25/month)</t>
  </si>
  <si>
    <t xml:space="preserve">https://www.stork.ai/en/final-round-ai</t>
  </si>
  <si>
    <t xml:space="preserve">Great Learning acquires Superset</t>
  </si>
  <si>
    <t xml:space="preserve">https://www.peoplematters.in/news/skilling/byjus-backed-great-learning-acquires-recruitment-platform-superset-32875</t>
  </si>
  <si>
    <t xml:space="preserve">Indian seed dilution benchmarks (15–20%, median ticket ~$1M)</t>
  </si>
  <si>
    <t xml:space="preserve">https://echai.ventures/startingup/seed-fundraising/how-do-i-actually-value-a-pre-revenue-startup-and-where-does-the-seed-number-come-from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</si>
</sst>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\₹#,##0;&quot;(₹&quot;#,##0\);\-"/>
    <numFmt numFmtId="168" formatCode="#,##0.0;\(#,##0.0\);\-"/>
    <numFmt numFmtId="169" formatCode="0.0\x"/>
    <numFmt numFmtId="170" formatCode="#,##0.00"/>
    <numFmt numFmtId="171" formatCode="#,##0.0"/>
    <numFmt numFmtId="172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0B0B"/>
        <bgColor rgb="FF000000"/>
      </patternFill>
    </fill>
    <fill>
      <patternFill patternType="solid">
        <fgColor rgb="FFE6F4EA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E6F4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4E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educationforallinindia.com/all-india-survey-of-higher-education-aishe-2021-22-summary-of-major-findings/" TargetMode="External"/><Relationship Id="rId2" Type="http://schemas.openxmlformats.org/officeDocument/2006/relationships/hyperlink" Target="https://educationforallinindia.com/analysis-of-aishe-2022-23-and-2023-24-data-by-arun-c-mehta/" TargetMode="External"/><Relationship Id="rId3" Type="http://schemas.openxmlformats.org/officeDocument/2006/relationships/hyperlink" Target="https://vajiramandravi.com/current-affairs/india-skills-report-2025/" TargetMode="External"/><Relationship Id="rId4" Type="http://schemas.openxmlformats.org/officeDocument/2006/relationships/hyperlink" Target="https://businessworld.in/article/online-higher-education-and-upskilling-market-to-grow-at-a-cagr-of-231-to-85000-crore-by-fy28-539407" TargetMode="External"/><Relationship Id="rId5" Type="http://schemas.openxmlformats.org/officeDocument/2006/relationships/hyperlink" Target="https://india.entrepreneur.com/news-and-trends/youth-engagement-and-hiring-platform-unstop-hits-user/486547" TargetMode="External"/><Relationship Id="rId6" Type="http://schemas.openxmlformats.org/officeDocument/2006/relationships/hyperlink" Target="https://yourstory.com/2022/07/internshala-blog-profitable-intership-skilling-career-tech-startup/amp" TargetMode="External"/><Relationship Id="rId7" Type="http://schemas.openxmlformats.org/officeDocument/2006/relationships/hyperlink" Target="https://goodspace.ai/guides/naukri-paid-services-worth-it" TargetMode="External"/><Relationship Id="rId8" Type="http://schemas.openxmlformats.org/officeDocument/2006/relationships/hyperlink" Target="https://www.stork.ai/en/final-round-ai" TargetMode="External"/><Relationship Id="rId9" Type="http://schemas.openxmlformats.org/officeDocument/2006/relationships/hyperlink" Target="https://www.peoplematters.in/news/skilling/byjus-backed-great-learning-acquires-recruitment-platform-superset-32875" TargetMode="External"/><Relationship Id="rId10" Type="http://schemas.openxmlformats.org/officeDocument/2006/relationships/hyperlink" Target="https://echai.ventures/startingup/seed-fundraising/how-do-i-actually-value-a-pre-revenue-startup-and-where-does-the-seed-number-come-fr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7" min="3" style="0" width="13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7" t="s">
        <v>11</v>
      </c>
      <c r="B6" s="2" t="s">
        <v>12</v>
      </c>
      <c r="C6" s="8" t="n">
        <v>40000</v>
      </c>
      <c r="D6" s="8" t="n">
        <v>200000</v>
      </c>
      <c r="E6" s="8" t="n">
        <v>600000</v>
      </c>
      <c r="F6" s="8" t="n">
        <v>1500000</v>
      </c>
      <c r="G6" s="8" t="n">
        <v>3000000</v>
      </c>
      <c r="H6" s="2" t="s">
        <v>13</v>
      </c>
    </row>
    <row r="7" customFormat="false" ht="15" hidden="false" customHeight="false" outlineLevel="0" collapsed="false">
      <c r="A7" s="7" t="s">
        <v>14</v>
      </c>
      <c r="B7" s="2" t="s">
        <v>15</v>
      </c>
      <c r="C7" s="9" t="n">
        <v>0.35</v>
      </c>
      <c r="D7" s="9" t="n">
        <v>0.35</v>
      </c>
      <c r="E7" s="9" t="n">
        <v>0.35</v>
      </c>
      <c r="F7" s="9" t="n">
        <v>0.35</v>
      </c>
      <c r="G7" s="9" t="n">
        <v>0.35</v>
      </c>
      <c r="H7" s="2" t="s">
        <v>16</v>
      </c>
    </row>
    <row r="8" customFormat="false" ht="15" hidden="false" customHeight="false" outlineLevel="0" collapsed="false">
      <c r="A8" s="7" t="s">
        <v>17</v>
      </c>
      <c r="B8" s="2" t="s">
        <v>15</v>
      </c>
      <c r="C8" s="10" t="n">
        <v>0.02</v>
      </c>
      <c r="D8" s="10" t="n">
        <v>0.03</v>
      </c>
      <c r="E8" s="10" t="n">
        <v>0.035</v>
      </c>
      <c r="F8" s="10" t="n">
        <v>0.04</v>
      </c>
      <c r="G8" s="10" t="n">
        <v>0.045</v>
      </c>
      <c r="H8" s="2" t="s">
        <v>18</v>
      </c>
    </row>
    <row r="9" customFormat="false" ht="15" hidden="false" customHeight="false" outlineLevel="0" collapsed="false">
      <c r="A9" s="7" t="s">
        <v>19</v>
      </c>
      <c r="B9" s="2" t="s">
        <v>20</v>
      </c>
      <c r="C9" s="11" t="n">
        <v>900</v>
      </c>
      <c r="D9" s="11" t="n">
        <v>950</v>
      </c>
      <c r="E9" s="11" t="n">
        <v>1000</v>
      </c>
      <c r="F9" s="11" t="n">
        <v>1050</v>
      </c>
      <c r="G9" s="11" t="n">
        <v>1100</v>
      </c>
      <c r="H9" s="2" t="s">
        <v>21</v>
      </c>
    </row>
    <row r="10" customFormat="false" ht="15" hidden="false" customHeight="false" outlineLevel="0" collapsed="false">
      <c r="A10" s="7" t="s">
        <v>22</v>
      </c>
      <c r="B10" s="2" t="s">
        <v>20</v>
      </c>
      <c r="C10" s="11" t="n">
        <v>5</v>
      </c>
      <c r="D10" s="11" t="n">
        <v>8</v>
      </c>
      <c r="E10" s="11" t="n">
        <v>10</v>
      </c>
      <c r="F10" s="11" t="n">
        <v>12</v>
      </c>
      <c r="G10" s="11" t="n">
        <v>14</v>
      </c>
      <c r="H10" s="2" t="s">
        <v>23</v>
      </c>
    </row>
    <row r="11" customFormat="false" ht="15" hidden="false" customHeight="false" outlineLevel="0" collapsed="false">
      <c r="A11" s="5" t="s">
        <v>24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7" t="s">
        <v>25</v>
      </c>
      <c r="B12" s="2" t="s">
        <v>26</v>
      </c>
      <c r="C12" s="8" t="n">
        <v>5</v>
      </c>
      <c r="D12" s="8" t="n">
        <v>30</v>
      </c>
      <c r="E12" s="8" t="n">
        <v>100</v>
      </c>
      <c r="F12" s="8" t="n">
        <v>250</v>
      </c>
      <c r="G12" s="8" t="n">
        <v>500</v>
      </c>
      <c r="H12" s="2" t="s">
        <v>27</v>
      </c>
    </row>
    <row r="13" customFormat="false" ht="15" hidden="false" customHeight="false" outlineLevel="0" collapsed="false">
      <c r="A13" s="7" t="s">
        <v>28</v>
      </c>
      <c r="B13" s="2" t="s">
        <v>20</v>
      </c>
      <c r="C13" s="11" t="n">
        <v>150000</v>
      </c>
      <c r="D13" s="11" t="n">
        <v>175000</v>
      </c>
      <c r="E13" s="11" t="n">
        <v>200000</v>
      </c>
      <c r="F13" s="11" t="n">
        <v>225000</v>
      </c>
      <c r="G13" s="11" t="n">
        <v>250000</v>
      </c>
      <c r="H13" s="2" t="s">
        <v>29</v>
      </c>
    </row>
    <row r="14" customFormat="false" ht="15" hidden="false" customHeight="false" outlineLevel="0" collapsed="false">
      <c r="A14" s="5" t="s">
        <v>30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31</v>
      </c>
      <c r="B15" s="2" t="s">
        <v>26</v>
      </c>
      <c r="C15" s="8" t="n">
        <v>10</v>
      </c>
      <c r="D15" s="8" t="n">
        <v>60</v>
      </c>
      <c r="E15" s="8" t="n">
        <v>200</v>
      </c>
      <c r="F15" s="8" t="n">
        <v>500</v>
      </c>
      <c r="G15" s="8" t="n">
        <v>1000</v>
      </c>
      <c r="H15" s="2" t="s">
        <v>32</v>
      </c>
    </row>
    <row r="16" customFormat="false" ht="15" hidden="false" customHeight="false" outlineLevel="0" collapsed="false">
      <c r="A16" s="7" t="s">
        <v>33</v>
      </c>
      <c r="B16" s="2" t="s">
        <v>20</v>
      </c>
      <c r="C16" s="11" t="n">
        <v>50000</v>
      </c>
      <c r="D16" s="11" t="n">
        <v>60000</v>
      </c>
      <c r="E16" s="11" t="n">
        <v>75000</v>
      </c>
      <c r="F16" s="11" t="n">
        <v>90000</v>
      </c>
      <c r="G16" s="11" t="n">
        <v>100000</v>
      </c>
      <c r="H16" s="2" t="s">
        <v>34</v>
      </c>
    </row>
    <row r="17" customFormat="false" ht="15" hidden="false" customHeight="false" outlineLevel="0" collapsed="false">
      <c r="A17" s="5" t="s">
        <v>35</v>
      </c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7" t="s">
        <v>36</v>
      </c>
      <c r="B18" s="2" t="s">
        <v>26</v>
      </c>
      <c r="C18" s="12" t="n">
        <v>8</v>
      </c>
      <c r="D18" s="12" t="n">
        <v>14</v>
      </c>
      <c r="E18" s="12" t="n">
        <v>30</v>
      </c>
      <c r="F18" s="12" t="n">
        <v>55</v>
      </c>
      <c r="G18" s="12" t="n">
        <v>90</v>
      </c>
      <c r="H18" s="2" t="s">
        <v>37</v>
      </c>
    </row>
    <row r="19" customFormat="false" ht="15" hidden="false" customHeight="false" outlineLevel="0" collapsed="false">
      <c r="A19" s="7" t="s">
        <v>38</v>
      </c>
      <c r="B19" s="2" t="s">
        <v>20</v>
      </c>
      <c r="C19" s="11" t="n">
        <v>360000</v>
      </c>
      <c r="D19" s="11" t="n">
        <v>600000</v>
      </c>
      <c r="E19" s="11" t="n">
        <v>800000</v>
      </c>
      <c r="F19" s="11" t="n">
        <v>900000</v>
      </c>
      <c r="G19" s="11" t="n">
        <v>1000000</v>
      </c>
      <c r="H19" s="2" t="s">
        <v>39</v>
      </c>
    </row>
    <row r="20" customFormat="false" ht="15" hidden="false" customHeight="false" outlineLevel="0" collapsed="false">
      <c r="A20" s="7" t="s">
        <v>40</v>
      </c>
      <c r="B20" s="2" t="s">
        <v>20</v>
      </c>
      <c r="C20" s="11" t="n">
        <v>25</v>
      </c>
      <c r="D20" s="11" t="n">
        <v>22</v>
      </c>
      <c r="E20" s="11" t="n">
        <v>20</v>
      </c>
      <c r="F20" s="11" t="n">
        <v>18</v>
      </c>
      <c r="G20" s="11" t="n">
        <v>16</v>
      </c>
      <c r="H20" s="2" t="s">
        <v>41</v>
      </c>
    </row>
    <row r="21" customFormat="false" ht="15" hidden="false" customHeight="false" outlineLevel="0" collapsed="false">
      <c r="A21" s="7" t="s">
        <v>42</v>
      </c>
      <c r="B21" s="2" t="s">
        <v>43</v>
      </c>
      <c r="C21" s="13" t="n">
        <v>12</v>
      </c>
      <c r="D21" s="13" t="n">
        <v>45</v>
      </c>
      <c r="E21" s="13" t="n">
        <v>120</v>
      </c>
      <c r="F21" s="13" t="n">
        <v>260</v>
      </c>
      <c r="G21" s="13" t="n">
        <v>450</v>
      </c>
      <c r="H21" s="2" t="s">
        <v>44</v>
      </c>
    </row>
    <row r="22" customFormat="false" ht="15" hidden="false" customHeight="false" outlineLevel="0" collapsed="false">
      <c r="A22" s="7" t="s">
        <v>45</v>
      </c>
      <c r="B22" s="2" t="s">
        <v>15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2" t="s">
        <v>46</v>
      </c>
    </row>
    <row r="23" customFormat="false" ht="15" hidden="false" customHeight="false" outlineLevel="0" collapsed="false">
      <c r="A23" s="7" t="s">
        <v>47</v>
      </c>
      <c r="B23" s="2" t="s">
        <v>15</v>
      </c>
      <c r="C23" s="9" t="n">
        <v>0.02</v>
      </c>
      <c r="D23" s="9" t="n">
        <v>0.02</v>
      </c>
      <c r="E23" s="9" t="n">
        <v>0.02</v>
      </c>
      <c r="F23" s="9" t="n">
        <v>0.02</v>
      </c>
      <c r="G23" s="9" t="n">
        <v>0.02</v>
      </c>
      <c r="H23" s="2" t="s">
        <v>48</v>
      </c>
    </row>
    <row r="24" customFormat="false" ht="15" hidden="false" customHeight="false" outlineLevel="0" collapsed="false">
      <c r="A24" s="7" t="s">
        <v>49</v>
      </c>
      <c r="B24" s="2" t="s">
        <v>43</v>
      </c>
      <c r="C24" s="13" t="n">
        <v>4</v>
      </c>
      <c r="D24" s="13" t="n">
        <v>12</v>
      </c>
      <c r="E24" s="13" t="n">
        <v>30</v>
      </c>
      <c r="F24" s="13" t="n">
        <v>60</v>
      </c>
      <c r="G24" s="13" t="n">
        <v>100</v>
      </c>
      <c r="H24" s="2"/>
    </row>
    <row r="25" customFormat="false" ht="15" hidden="false" customHeight="false" outlineLevel="0" collapsed="false">
      <c r="A25" s="7" t="s">
        <v>50</v>
      </c>
      <c r="B25" s="2" t="s">
        <v>15</v>
      </c>
      <c r="C25" s="9" t="n">
        <v>0.25</v>
      </c>
      <c r="D25" s="9" t="n">
        <v>0.25</v>
      </c>
      <c r="E25" s="9" t="n">
        <v>0.25</v>
      </c>
      <c r="F25" s="9" t="n">
        <v>0.25</v>
      </c>
      <c r="G25" s="9" t="n">
        <v>0.25</v>
      </c>
      <c r="H25" s="2" t="s">
        <v>51</v>
      </c>
    </row>
    <row r="26" customFormat="false" ht="15" hidden="false" customHeight="false" outlineLevel="0" collapsed="false">
      <c r="A26" s="5" t="s">
        <v>52</v>
      </c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7" t="s">
        <v>53</v>
      </c>
      <c r="B27" s="2" t="s">
        <v>43</v>
      </c>
      <c r="C27" s="14" t="n">
        <v>120</v>
      </c>
      <c r="H27" s="2" t="s">
        <v>54</v>
      </c>
    </row>
    <row r="28" customFormat="false" ht="15" hidden="false" customHeight="false" outlineLevel="0" collapsed="false">
      <c r="A28" s="7" t="s">
        <v>55</v>
      </c>
      <c r="B28" s="2" t="s">
        <v>15</v>
      </c>
      <c r="C28" s="10" t="n">
        <v>0.15</v>
      </c>
      <c r="H28" s="2" t="s">
        <v>56</v>
      </c>
    </row>
    <row r="29" customFormat="false" ht="15" hidden="false" customHeight="false" outlineLevel="0" collapsed="false">
      <c r="A29" s="7" t="s">
        <v>57</v>
      </c>
      <c r="B29" s="2" t="s">
        <v>15</v>
      </c>
      <c r="C29" s="9" t="n">
        <v>0.4</v>
      </c>
      <c r="H29" s="2" t="s">
        <v>58</v>
      </c>
    </row>
    <row r="30" customFormat="false" ht="15" hidden="false" customHeight="false" outlineLevel="0" collapsed="false">
      <c r="A30" s="7" t="s">
        <v>59</v>
      </c>
      <c r="B30" s="2" t="s">
        <v>60</v>
      </c>
      <c r="C30" s="15" t="n">
        <v>4</v>
      </c>
      <c r="H30" s="2" t="s">
        <v>61</v>
      </c>
    </row>
    <row r="31" customFormat="false" ht="15" hidden="false" customHeight="false" outlineLevel="0" collapsed="false">
      <c r="A31" s="7" t="s">
        <v>62</v>
      </c>
      <c r="B31" s="2" t="s">
        <v>20</v>
      </c>
      <c r="C31" s="12" t="n">
        <v>100000</v>
      </c>
      <c r="H31" s="2" t="s">
        <v>63</v>
      </c>
    </row>
    <row r="32" customFormat="false" ht="15" hidden="false" customHeight="false" outlineLevel="0" collapsed="false">
      <c r="A32" s="7" t="s">
        <v>64</v>
      </c>
      <c r="B32" s="2" t="s">
        <v>20</v>
      </c>
      <c r="C32" s="12" t="n">
        <v>10000000</v>
      </c>
      <c r="H32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3" t="s">
        <v>67</v>
      </c>
      <c r="B4" s="3" t="s">
        <v>3</v>
      </c>
      <c r="C4" s="4" t="s">
        <v>68</v>
      </c>
      <c r="D4" s="4" t="s">
        <v>69</v>
      </c>
    </row>
    <row r="5" customFormat="false" ht="15" hidden="false" customHeight="false" outlineLevel="0" collapsed="false">
      <c r="A5" s="7" t="s">
        <v>53</v>
      </c>
      <c r="B5" s="2" t="s">
        <v>43</v>
      </c>
      <c r="C5" s="16" t="n">
        <f aca="false">Assumptions!C27</f>
        <v>120</v>
      </c>
      <c r="D5" s="2" t="s">
        <v>70</v>
      </c>
    </row>
    <row r="6" customFormat="false" ht="15" hidden="false" customHeight="false" outlineLevel="0" collapsed="false">
      <c r="A6" s="7" t="s">
        <v>55</v>
      </c>
      <c r="B6" s="2" t="s">
        <v>15</v>
      </c>
      <c r="C6" s="17" t="n">
        <f aca="false">Assumptions!C28</f>
        <v>0.15</v>
      </c>
      <c r="D6" s="2" t="s">
        <v>70</v>
      </c>
    </row>
    <row r="7" customFormat="false" ht="15" hidden="false" customHeight="false" outlineLevel="0" collapsed="false">
      <c r="A7" s="18" t="s">
        <v>71</v>
      </c>
      <c r="B7" s="2" t="s">
        <v>72</v>
      </c>
      <c r="C7" s="19" t="n">
        <f aca="false">IF(C6=0,0,C5/C6)*Assumptions!$C$31/Assumptions!$C$32</f>
        <v>8</v>
      </c>
      <c r="D7" s="2" t="s">
        <v>73</v>
      </c>
    </row>
    <row r="8" customFormat="false" ht="15" hidden="false" customHeight="false" outlineLevel="0" collapsed="false">
      <c r="A8" s="18" t="s">
        <v>74</v>
      </c>
      <c r="B8" s="2" t="s">
        <v>72</v>
      </c>
      <c r="C8" s="20" t="n">
        <f aca="false">C7-C5*Assumptions!$C$31/Assumptions!$C$32</f>
        <v>6.8</v>
      </c>
      <c r="D8" s="2" t="s">
        <v>75</v>
      </c>
    </row>
    <row r="10" customFormat="false" ht="15" hidden="false" customHeight="false" outlineLevel="0" collapsed="false">
      <c r="A10" s="7" t="s">
        <v>76</v>
      </c>
      <c r="B10" s="2" t="s">
        <v>72</v>
      </c>
      <c r="C10" s="21" t="n">
        <f aca="false">Revenue!G15</f>
        <v>29.1675</v>
      </c>
      <c r="D10" s="2" t="s">
        <v>77</v>
      </c>
    </row>
    <row r="11" customFormat="false" ht="15" hidden="false" customHeight="false" outlineLevel="0" collapsed="false">
      <c r="A11" s="7" t="s">
        <v>59</v>
      </c>
      <c r="B11" s="2" t="s">
        <v>60</v>
      </c>
      <c r="C11" s="22" t="n">
        <f aca="false">Assumptions!C30</f>
        <v>4</v>
      </c>
      <c r="D11" s="2" t="s">
        <v>70</v>
      </c>
    </row>
    <row r="12" customFormat="false" ht="15" hidden="false" customHeight="false" outlineLevel="0" collapsed="false">
      <c r="A12" s="7" t="s">
        <v>78</v>
      </c>
      <c r="B12" s="2" t="s">
        <v>72</v>
      </c>
      <c r="C12" s="23" t="n">
        <f aca="false">C10*C11</f>
        <v>116.67</v>
      </c>
      <c r="D12" s="2" t="s">
        <v>79</v>
      </c>
    </row>
    <row r="13" customFormat="false" ht="15" hidden="false" customHeight="false" outlineLevel="0" collapsed="false">
      <c r="A13" s="7" t="s">
        <v>80</v>
      </c>
      <c r="B13" s="2" t="s">
        <v>15</v>
      </c>
      <c r="C13" s="17" t="n">
        <f aca="false">C6*(1-Assumptions!C29)</f>
        <v>0.09</v>
      </c>
      <c r="D13" s="2" t="s">
        <v>81</v>
      </c>
    </row>
    <row r="14" customFormat="false" ht="15" hidden="false" customHeight="false" outlineLevel="0" collapsed="false">
      <c r="A14" s="7" t="s">
        <v>82</v>
      </c>
      <c r="B14" s="2" t="s">
        <v>72</v>
      </c>
      <c r="C14" s="21" t="n">
        <f aca="false">C12*C13</f>
        <v>10.5003</v>
      </c>
      <c r="D14" s="2"/>
    </row>
    <row r="15" customFormat="false" ht="15" hidden="false" customHeight="false" outlineLevel="0" collapsed="false">
      <c r="A15" s="18" t="s">
        <v>83</v>
      </c>
      <c r="B15" s="2" t="s">
        <v>60</v>
      </c>
      <c r="C15" s="24" t="n">
        <f aca="false">IF(C5=0,0,C14/(C5*Assumptions!$C$31/Assumptions!$C$32))</f>
        <v>8.75025</v>
      </c>
      <c r="D15" s="2" t="s">
        <v>84</v>
      </c>
    </row>
    <row r="16" customFormat="false" ht="15" hidden="false" customHeight="false" outlineLevel="0" collapsed="false">
      <c r="A16" s="18" t="s">
        <v>85</v>
      </c>
      <c r="B16" s="2" t="s">
        <v>15</v>
      </c>
      <c r="C16" s="25" t="n">
        <f aca="false">IF(C15&lt;=0,0,C15^(1/5)-1)</f>
        <v>0.543135606182525</v>
      </c>
      <c r="D16" s="2" t="s">
        <v>86</v>
      </c>
    </row>
    <row r="18" customFormat="false" ht="15" hidden="false" customHeight="false" outlineLevel="0" collapsed="false">
      <c r="A18" s="3" t="s">
        <v>87</v>
      </c>
      <c r="B18" s="3" t="s">
        <v>88</v>
      </c>
      <c r="C18" s="4" t="s">
        <v>43</v>
      </c>
      <c r="D18" s="4" t="s">
        <v>89</v>
      </c>
    </row>
    <row r="19" customFormat="false" ht="15" hidden="false" customHeight="false" outlineLevel="0" collapsed="false">
      <c r="A19" s="7" t="s">
        <v>90</v>
      </c>
      <c r="B19" s="9" t="n">
        <v>0.4</v>
      </c>
      <c r="C19" s="16" t="n">
        <f aca="false">B19*$C$5</f>
        <v>48</v>
      </c>
      <c r="D19" s="2" t="s">
        <v>91</v>
      </c>
    </row>
    <row r="20" customFormat="false" ht="15" hidden="false" customHeight="false" outlineLevel="0" collapsed="false">
      <c r="A20" s="7" t="s">
        <v>92</v>
      </c>
      <c r="B20" s="9" t="n">
        <v>0.25</v>
      </c>
      <c r="C20" s="16" t="n">
        <f aca="false">B20*$C$5</f>
        <v>30</v>
      </c>
      <c r="D20" s="2" t="s">
        <v>93</v>
      </c>
    </row>
    <row r="21" customFormat="false" ht="15" hidden="false" customHeight="false" outlineLevel="0" collapsed="false">
      <c r="A21" s="7" t="s">
        <v>94</v>
      </c>
      <c r="B21" s="9" t="n">
        <v>0.2</v>
      </c>
      <c r="C21" s="16" t="n">
        <f aca="false">B21*$C$5</f>
        <v>24</v>
      </c>
      <c r="D21" s="2" t="s">
        <v>95</v>
      </c>
    </row>
    <row r="22" customFormat="false" ht="15" hidden="false" customHeight="false" outlineLevel="0" collapsed="false">
      <c r="A22" s="7" t="s">
        <v>96</v>
      </c>
      <c r="B22" s="9" t="n">
        <v>0.08</v>
      </c>
      <c r="C22" s="16" t="n">
        <f aca="false">B22*$C$5</f>
        <v>9.6</v>
      </c>
      <c r="D22" s="2" t="s">
        <v>97</v>
      </c>
    </row>
    <row r="23" customFormat="false" ht="15" hidden="false" customHeight="false" outlineLevel="0" collapsed="false">
      <c r="A23" s="7" t="s">
        <v>98</v>
      </c>
      <c r="B23" s="9" t="n">
        <v>0.07</v>
      </c>
      <c r="C23" s="16" t="n">
        <f aca="false">B23*$C$5</f>
        <v>8.4</v>
      </c>
      <c r="D23" s="2" t="s">
        <v>99</v>
      </c>
    </row>
    <row r="24" customFormat="false" ht="15" hidden="false" customHeight="false" outlineLevel="0" collapsed="false">
      <c r="A24" s="18" t="s">
        <v>100</v>
      </c>
      <c r="B24" s="25" t="n">
        <f aca="false">SUM(B19:B23)</f>
        <v>1</v>
      </c>
      <c r="C24" s="26" t="n">
        <f aca="false">SUM(C19:C23)</f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9"/>
    <col collapsed="false" customWidth="true" hidden="false" outlineLevel="0" max="7" min="3" style="0" width="13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false" outlineLevel="0" collapsed="false">
      <c r="A4" s="3" t="s">
        <v>103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69</v>
      </c>
    </row>
    <row r="5" customFormat="false" ht="15" hidden="false" customHeight="false" outlineLevel="0" collapsed="false">
      <c r="A5" s="5" t="s">
        <v>104</v>
      </c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7" t="s">
        <v>105</v>
      </c>
      <c r="B6" s="2" t="s">
        <v>12</v>
      </c>
      <c r="C6" s="27" t="n">
        <f aca="false">Assumptions!C6</f>
        <v>40000</v>
      </c>
      <c r="D6" s="27" t="n">
        <f aca="false">Assumptions!D6</f>
        <v>200000</v>
      </c>
      <c r="E6" s="27" t="n">
        <f aca="false">Assumptions!E6</f>
        <v>600000</v>
      </c>
      <c r="F6" s="27" t="n">
        <f aca="false">Assumptions!F6</f>
        <v>1500000</v>
      </c>
      <c r="G6" s="27" t="n">
        <f aca="false">Assumptions!G6</f>
        <v>3000000</v>
      </c>
      <c r="H6" s="2" t="s">
        <v>58</v>
      </c>
    </row>
    <row r="7" customFormat="false" ht="15" hidden="false" customHeight="false" outlineLevel="0" collapsed="false">
      <c r="A7" s="7" t="s">
        <v>106</v>
      </c>
      <c r="B7" s="2" t="s">
        <v>12</v>
      </c>
      <c r="C7" s="28" t="n">
        <f aca="false">Assumptions!C6*Assumptions!C7</f>
        <v>14000</v>
      </c>
      <c r="D7" s="28" t="n">
        <f aca="false">Assumptions!D6*Assumptions!D7</f>
        <v>70000</v>
      </c>
      <c r="E7" s="28" t="n">
        <f aca="false">Assumptions!E6*Assumptions!E7</f>
        <v>210000</v>
      </c>
      <c r="F7" s="28" t="n">
        <f aca="false">Assumptions!F6*Assumptions!F7</f>
        <v>525000</v>
      </c>
      <c r="G7" s="28" t="n">
        <f aca="false">Assumptions!G6*Assumptions!G7</f>
        <v>1050000</v>
      </c>
      <c r="H7" s="2" t="s">
        <v>107</v>
      </c>
    </row>
    <row r="8" customFormat="false" ht="15" hidden="false" customHeight="false" outlineLevel="0" collapsed="false">
      <c r="A8" s="7" t="s">
        <v>108</v>
      </c>
      <c r="B8" s="2" t="s">
        <v>12</v>
      </c>
      <c r="C8" s="28" t="n">
        <f aca="false">Assumptions!C6*Assumptions!C7*Assumptions!C8</f>
        <v>280</v>
      </c>
      <c r="D8" s="28" t="n">
        <f aca="false">Assumptions!D6*Assumptions!D7*Assumptions!D8</f>
        <v>2100</v>
      </c>
      <c r="E8" s="28" t="n">
        <f aca="false">Assumptions!E6*Assumptions!E7*Assumptions!E8</f>
        <v>7350</v>
      </c>
      <c r="F8" s="28" t="n">
        <f aca="false">Assumptions!F6*Assumptions!F7*Assumptions!F8</f>
        <v>21000</v>
      </c>
      <c r="G8" s="28" t="n">
        <f aca="false">Assumptions!G6*Assumptions!G7*Assumptions!G8</f>
        <v>47250</v>
      </c>
      <c r="H8" s="2" t="s">
        <v>109</v>
      </c>
    </row>
    <row r="9" customFormat="false" ht="15" hidden="false" customHeight="false" outlineLevel="0" collapsed="false">
      <c r="A9" s="5" t="s">
        <v>110</v>
      </c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7" t="s">
        <v>111</v>
      </c>
      <c r="B10" s="2" t="s">
        <v>43</v>
      </c>
      <c r="C10" s="16" t="n">
        <f aca="false">C8*Assumptions!C9/Assumptions!$C$31</f>
        <v>2.52</v>
      </c>
      <c r="D10" s="16" t="n">
        <f aca="false">D8*Assumptions!D9/Assumptions!$C$31</f>
        <v>19.95</v>
      </c>
      <c r="E10" s="16" t="n">
        <f aca="false">E8*Assumptions!E9/Assumptions!$C$31</f>
        <v>73.5</v>
      </c>
      <c r="F10" s="16" t="n">
        <f aca="false">F8*Assumptions!F9/Assumptions!$C$31</f>
        <v>220.5</v>
      </c>
      <c r="G10" s="16" t="n">
        <f aca="false">G8*Assumptions!G9/Assumptions!$C$31</f>
        <v>519.75</v>
      </c>
      <c r="H10" s="2" t="s">
        <v>112</v>
      </c>
    </row>
    <row r="11" customFormat="false" ht="15" hidden="false" customHeight="false" outlineLevel="0" collapsed="false">
      <c r="A11" s="7" t="s">
        <v>113</v>
      </c>
      <c r="B11" s="2" t="s">
        <v>43</v>
      </c>
      <c r="C11" s="16" t="n">
        <f aca="false">C7*Assumptions!C10/Assumptions!$C$31</f>
        <v>0.7</v>
      </c>
      <c r="D11" s="16" t="n">
        <f aca="false">D7*Assumptions!D10/Assumptions!$C$31</f>
        <v>5.6</v>
      </c>
      <c r="E11" s="16" t="n">
        <f aca="false">E7*Assumptions!E10/Assumptions!$C$31</f>
        <v>21</v>
      </c>
      <c r="F11" s="16" t="n">
        <f aca="false">F7*Assumptions!F10/Assumptions!$C$31</f>
        <v>63</v>
      </c>
      <c r="G11" s="16" t="n">
        <f aca="false">G7*Assumptions!G10/Assumptions!$C$31</f>
        <v>147</v>
      </c>
      <c r="H11" s="2" t="s">
        <v>114</v>
      </c>
    </row>
    <row r="12" customFormat="false" ht="15" hidden="false" customHeight="false" outlineLevel="0" collapsed="false">
      <c r="A12" s="7" t="s">
        <v>115</v>
      </c>
      <c r="B12" s="2" t="s">
        <v>43</v>
      </c>
      <c r="C12" s="16" t="n">
        <f aca="false">Assumptions!C12*Assumptions!C13/Assumptions!$C$31</f>
        <v>7.5</v>
      </c>
      <c r="D12" s="16" t="n">
        <f aca="false">Assumptions!D12*Assumptions!D13/Assumptions!$C$31</f>
        <v>52.5</v>
      </c>
      <c r="E12" s="16" t="n">
        <f aca="false">Assumptions!E12*Assumptions!E13/Assumptions!$C$31</f>
        <v>200</v>
      </c>
      <c r="F12" s="16" t="n">
        <f aca="false">Assumptions!F12*Assumptions!F13/Assumptions!$C$31</f>
        <v>562.5</v>
      </c>
      <c r="G12" s="16" t="n">
        <f aca="false">Assumptions!G12*Assumptions!G13/Assumptions!$C$31</f>
        <v>1250</v>
      </c>
      <c r="H12" s="2" t="s">
        <v>116</v>
      </c>
    </row>
    <row r="13" customFormat="false" ht="15" hidden="false" customHeight="false" outlineLevel="0" collapsed="false">
      <c r="A13" s="7" t="s">
        <v>117</v>
      </c>
      <c r="B13" s="2" t="s">
        <v>43</v>
      </c>
      <c r="C13" s="16" t="n">
        <f aca="false">Assumptions!C15*Assumptions!C16/Assumptions!$C$31</f>
        <v>5</v>
      </c>
      <c r="D13" s="16" t="n">
        <f aca="false">Assumptions!D15*Assumptions!D16/Assumptions!$C$31</f>
        <v>36</v>
      </c>
      <c r="E13" s="16" t="n">
        <f aca="false">Assumptions!E15*Assumptions!E16/Assumptions!$C$31</f>
        <v>150</v>
      </c>
      <c r="F13" s="16" t="n">
        <f aca="false">Assumptions!F15*Assumptions!F16/Assumptions!$C$31</f>
        <v>450</v>
      </c>
      <c r="G13" s="16" t="n">
        <f aca="false">Assumptions!G15*Assumptions!G16/Assumptions!$C$31</f>
        <v>1000</v>
      </c>
      <c r="H13" s="2" t="s">
        <v>118</v>
      </c>
    </row>
    <row r="14" customFormat="false" ht="15" hidden="false" customHeight="false" outlineLevel="0" collapsed="false">
      <c r="A14" s="29" t="s">
        <v>119</v>
      </c>
      <c r="B14" s="30" t="s">
        <v>43</v>
      </c>
      <c r="C14" s="31" t="n">
        <f aca="false">SUM(C10:C13)</f>
        <v>15.72</v>
      </c>
      <c r="D14" s="31" t="n">
        <f aca="false">SUM(D10:D13)</f>
        <v>114.05</v>
      </c>
      <c r="E14" s="31" t="n">
        <f aca="false">SUM(E10:E13)</f>
        <v>444.5</v>
      </c>
      <c r="F14" s="31" t="n">
        <f aca="false">SUM(F10:F13)</f>
        <v>1296</v>
      </c>
      <c r="G14" s="31" t="n">
        <f aca="false">SUM(G10:G13)</f>
        <v>2916.75</v>
      </c>
      <c r="H14" s="2"/>
    </row>
    <row r="15" customFormat="false" ht="15" hidden="false" customHeight="false" outlineLevel="0" collapsed="false">
      <c r="A15" s="18" t="s">
        <v>119</v>
      </c>
      <c r="B15" s="2" t="s">
        <v>72</v>
      </c>
      <c r="C15" s="32" t="n">
        <f aca="false">C14*Assumptions!$C$31/Assumptions!$C$32</f>
        <v>0.1572</v>
      </c>
      <c r="D15" s="32" t="n">
        <f aca="false">D14*Assumptions!$C$31/Assumptions!$C$32</f>
        <v>1.1405</v>
      </c>
      <c r="E15" s="32" t="n">
        <f aca="false">E14*Assumptions!$C$31/Assumptions!$C$32</f>
        <v>4.445</v>
      </c>
      <c r="F15" s="32" t="n">
        <f aca="false">F14*Assumptions!$C$31/Assumptions!$C$32</f>
        <v>12.96</v>
      </c>
      <c r="G15" s="32" t="n">
        <f aca="false">G14*Assumptions!$C$31/Assumptions!$C$32</f>
        <v>29.1675</v>
      </c>
      <c r="H15" s="2"/>
    </row>
    <row r="16" customFormat="false" ht="15" hidden="false" customHeight="false" outlineLevel="0" collapsed="false">
      <c r="A16" s="7" t="s">
        <v>120</v>
      </c>
      <c r="B16" s="2" t="s">
        <v>15</v>
      </c>
      <c r="C16" s="17"/>
      <c r="D16" s="17" t="n">
        <f aca="false">IF(C14=0,0,D14/C14-1)</f>
        <v>6.25508905852417</v>
      </c>
      <c r="E16" s="17" t="n">
        <f aca="false">IF(D14=0,0,E14/D14-1)</f>
        <v>2.89741341516879</v>
      </c>
      <c r="F16" s="17" t="n">
        <f aca="false">IF(E14=0,0,F14/E14-1)</f>
        <v>1.91563554555681</v>
      </c>
      <c r="G16" s="17" t="n">
        <f aca="false">IF(F14=0,0,G14/F14-1)</f>
        <v>1.2505787037037</v>
      </c>
      <c r="H16" s="2"/>
    </row>
    <row r="17" customFormat="false" ht="15" hidden="false" customHeight="false" outlineLevel="0" collapsed="false">
      <c r="A17" s="5" t="s">
        <v>121</v>
      </c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7" t="s">
        <v>122</v>
      </c>
      <c r="B18" s="2" t="s">
        <v>15</v>
      </c>
      <c r="C18" s="17" t="n">
        <f aca="false">IF(C14=0,0,(C10+C11)/C14)</f>
        <v>0.204834605597964</v>
      </c>
      <c r="D18" s="17" t="n">
        <f aca="false">IF(D14=0,0,(D10+D11)/D14)</f>
        <v>0.224024550635686</v>
      </c>
      <c r="E18" s="17" t="n">
        <f aca="false">IF(E14=0,0,(E10+E11)/E14)</f>
        <v>0.21259842519685</v>
      </c>
      <c r="F18" s="17" t="n">
        <f aca="false">IF(F14=0,0,(F10+F11)/F14)</f>
        <v>0.21875</v>
      </c>
      <c r="G18" s="17" t="n">
        <f aca="false">IF(G14=0,0,(G10+G11)/G14)</f>
        <v>0.228593468758036</v>
      </c>
      <c r="H18" s="2"/>
    </row>
    <row r="19" customFormat="false" ht="15" hidden="false" customHeight="false" outlineLevel="0" collapsed="false">
      <c r="A19" s="7" t="s">
        <v>123</v>
      </c>
      <c r="B19" s="2" t="s">
        <v>15</v>
      </c>
      <c r="C19" s="17" t="n">
        <f aca="false">IF(C14=0,0,(C12+C13)/C14)</f>
        <v>0.795165394402036</v>
      </c>
      <c r="D19" s="17" t="n">
        <f aca="false">IF(D14=0,0,(D12+D13)/D14)</f>
        <v>0.775975449364314</v>
      </c>
      <c r="E19" s="17" t="n">
        <f aca="false">IF(E14=0,0,(E12+E13)/E14)</f>
        <v>0.78740157480315</v>
      </c>
      <c r="F19" s="17" t="n">
        <f aca="false">IF(F14=0,0,(F12+F13)/F14)</f>
        <v>0.78125</v>
      </c>
      <c r="G19" s="17" t="n">
        <f aca="false">IF(G14=0,0,(G12+G13)/G14)</f>
        <v>0.771406531241965</v>
      </c>
      <c r="H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9"/>
    <col collapsed="false" customWidth="true" hidden="false" outlineLevel="0" max="7" min="3" style="0" width="13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A4" s="3" t="s">
        <v>103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69</v>
      </c>
    </row>
    <row r="5" customFormat="false" ht="15" hidden="false" customHeight="false" outlineLevel="0" collapsed="false">
      <c r="A5" s="18" t="s">
        <v>126</v>
      </c>
      <c r="B5" s="2" t="s">
        <v>43</v>
      </c>
      <c r="C5" s="33" t="n">
        <f aca="false">Revenue!C14</f>
        <v>15.72</v>
      </c>
      <c r="D5" s="33" t="n">
        <f aca="false">Revenue!D14</f>
        <v>114.05</v>
      </c>
      <c r="E5" s="33" t="n">
        <f aca="false">Revenue!E14</f>
        <v>444.5</v>
      </c>
      <c r="F5" s="33" t="n">
        <f aca="false">Revenue!F14</f>
        <v>1296</v>
      </c>
      <c r="G5" s="33" t="n">
        <f aca="false">Revenue!G14</f>
        <v>2916.75</v>
      </c>
      <c r="H5" s="2" t="s">
        <v>77</v>
      </c>
    </row>
    <row r="6" customFormat="false" ht="15" hidden="false" customHeight="false" outlineLevel="0" collapsed="false">
      <c r="A6" s="5" t="s">
        <v>127</v>
      </c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7" t="s">
        <v>128</v>
      </c>
      <c r="B7" s="2" t="s">
        <v>43</v>
      </c>
      <c r="C7" s="16" t="n">
        <f aca="false">Assumptions!C18*Assumptions!C19/Assumptions!$C$31</f>
        <v>28.8</v>
      </c>
      <c r="D7" s="16" t="n">
        <f aca="false">Assumptions!D18*Assumptions!D19/Assumptions!$C$31</f>
        <v>84</v>
      </c>
      <c r="E7" s="16" t="n">
        <f aca="false">Assumptions!E18*Assumptions!E19/Assumptions!$C$31</f>
        <v>240</v>
      </c>
      <c r="F7" s="16" t="n">
        <f aca="false">Assumptions!F18*Assumptions!F19/Assumptions!$C$31</f>
        <v>495</v>
      </c>
      <c r="G7" s="16" t="n">
        <f aca="false">Assumptions!G18*Assumptions!G19/Assumptions!$C$31</f>
        <v>900</v>
      </c>
      <c r="H7" s="2" t="s">
        <v>129</v>
      </c>
    </row>
    <row r="8" customFormat="false" ht="15" hidden="false" customHeight="false" outlineLevel="0" collapsed="false">
      <c r="A8" s="7" t="s">
        <v>130</v>
      </c>
      <c r="B8" s="2" t="s">
        <v>43</v>
      </c>
      <c r="C8" s="16" t="n">
        <f aca="false">Revenue!C7*Assumptions!C20/Assumptions!$C$31</f>
        <v>3.5</v>
      </c>
      <c r="D8" s="16" t="n">
        <f aca="false">Revenue!D7*Assumptions!D20/Assumptions!$C$31</f>
        <v>15.4</v>
      </c>
      <c r="E8" s="16" t="n">
        <f aca="false">Revenue!E7*Assumptions!E20/Assumptions!$C$31</f>
        <v>42</v>
      </c>
      <c r="F8" s="16" t="n">
        <f aca="false">Revenue!F7*Assumptions!F20/Assumptions!$C$31</f>
        <v>94.5</v>
      </c>
      <c r="G8" s="16" t="n">
        <f aca="false">Revenue!G7*Assumptions!G20/Assumptions!$C$31</f>
        <v>168</v>
      </c>
      <c r="H8" s="2" t="s">
        <v>131</v>
      </c>
    </row>
    <row r="9" customFormat="false" ht="15" hidden="false" customHeight="false" outlineLevel="0" collapsed="false">
      <c r="A9" s="7" t="s">
        <v>132</v>
      </c>
      <c r="B9" s="2" t="s">
        <v>43</v>
      </c>
      <c r="C9" s="33" t="n">
        <f aca="false">Assumptions!C21</f>
        <v>12</v>
      </c>
      <c r="D9" s="33" t="n">
        <f aca="false">Assumptions!D21</f>
        <v>45</v>
      </c>
      <c r="E9" s="33" t="n">
        <f aca="false">Assumptions!E21</f>
        <v>120</v>
      </c>
      <c r="F9" s="33" t="n">
        <f aca="false">Assumptions!F21</f>
        <v>260</v>
      </c>
      <c r="G9" s="33" t="n">
        <f aca="false">Assumptions!G21</f>
        <v>450</v>
      </c>
      <c r="H9" s="2" t="s">
        <v>58</v>
      </c>
    </row>
    <row r="10" customFormat="false" ht="15" hidden="false" customHeight="false" outlineLevel="0" collapsed="false">
      <c r="A10" s="7" t="s">
        <v>133</v>
      </c>
      <c r="B10" s="2" t="s">
        <v>43</v>
      </c>
      <c r="C10" s="16" t="n">
        <f aca="false">(Revenue!C12+Revenue!C13)*Assumptions!C22</f>
        <v>1.25</v>
      </c>
      <c r="D10" s="16" t="n">
        <f aca="false">(Revenue!D12+Revenue!D13)*Assumptions!D22</f>
        <v>8.85</v>
      </c>
      <c r="E10" s="16" t="n">
        <f aca="false">(Revenue!E12+Revenue!E13)*Assumptions!E22</f>
        <v>35</v>
      </c>
      <c r="F10" s="16" t="n">
        <f aca="false">(Revenue!F12+Revenue!F13)*Assumptions!F22</f>
        <v>101.25</v>
      </c>
      <c r="G10" s="16" t="n">
        <f aca="false">(Revenue!G12+Revenue!G13)*Assumptions!G22</f>
        <v>225</v>
      </c>
      <c r="H10" s="2" t="s">
        <v>134</v>
      </c>
    </row>
    <row r="11" customFormat="false" ht="15" hidden="false" customHeight="false" outlineLevel="0" collapsed="false">
      <c r="A11" s="7" t="s">
        <v>135</v>
      </c>
      <c r="B11" s="2" t="s">
        <v>43</v>
      </c>
      <c r="C11" s="16" t="n">
        <f aca="false">(Revenue!C10+Revenue!C11)*Assumptions!C23</f>
        <v>0.0644</v>
      </c>
      <c r="D11" s="16" t="n">
        <f aca="false">(Revenue!D10+Revenue!D11)*Assumptions!D23</f>
        <v>0.511</v>
      </c>
      <c r="E11" s="16" t="n">
        <f aca="false">(Revenue!E10+Revenue!E11)*Assumptions!E23</f>
        <v>1.89</v>
      </c>
      <c r="F11" s="16" t="n">
        <f aca="false">(Revenue!F10+Revenue!F11)*Assumptions!F23</f>
        <v>5.67</v>
      </c>
      <c r="G11" s="16" t="n">
        <f aca="false">(Revenue!G10+Revenue!G11)*Assumptions!G23</f>
        <v>13.335</v>
      </c>
      <c r="H11" s="2" t="s">
        <v>136</v>
      </c>
    </row>
    <row r="12" customFormat="false" ht="15" hidden="false" customHeight="false" outlineLevel="0" collapsed="false">
      <c r="A12" s="7" t="s">
        <v>137</v>
      </c>
      <c r="B12" s="2" t="s">
        <v>43</v>
      </c>
      <c r="C12" s="33" t="n">
        <f aca="false">Assumptions!C24</f>
        <v>4</v>
      </c>
      <c r="D12" s="33" t="n">
        <f aca="false">Assumptions!D24</f>
        <v>12</v>
      </c>
      <c r="E12" s="33" t="n">
        <f aca="false">Assumptions!E24</f>
        <v>30</v>
      </c>
      <c r="F12" s="33" t="n">
        <f aca="false">Assumptions!F24</f>
        <v>60</v>
      </c>
      <c r="G12" s="33" t="n">
        <f aca="false">Assumptions!G24</f>
        <v>100</v>
      </c>
      <c r="H12" s="2" t="s">
        <v>58</v>
      </c>
    </row>
    <row r="13" customFormat="false" ht="15" hidden="false" customHeight="false" outlineLevel="0" collapsed="false">
      <c r="A13" s="29" t="s">
        <v>138</v>
      </c>
      <c r="B13" s="30" t="s">
        <v>43</v>
      </c>
      <c r="C13" s="31" t="n">
        <f aca="false">SUM(C7:C12)</f>
        <v>49.6144</v>
      </c>
      <c r="D13" s="31" t="n">
        <f aca="false">SUM(D7:D12)</f>
        <v>165.761</v>
      </c>
      <c r="E13" s="31" t="n">
        <f aca="false">SUM(E7:E12)</f>
        <v>468.89</v>
      </c>
      <c r="F13" s="31" t="n">
        <f aca="false">SUM(F7:F12)</f>
        <v>1016.42</v>
      </c>
      <c r="G13" s="31" t="n">
        <f aca="false">SUM(G7:G12)</f>
        <v>1856.335</v>
      </c>
      <c r="H13" s="2"/>
    </row>
    <row r="15" customFormat="false" ht="15" hidden="false" customHeight="false" outlineLevel="0" collapsed="false">
      <c r="A15" s="29" t="s">
        <v>139</v>
      </c>
      <c r="B15" s="30" t="s">
        <v>43</v>
      </c>
      <c r="C15" s="31" t="n">
        <f aca="false">C5-C13</f>
        <v>-33.8944</v>
      </c>
      <c r="D15" s="31" t="n">
        <f aca="false">D5-D13</f>
        <v>-51.711</v>
      </c>
      <c r="E15" s="31" t="n">
        <f aca="false">E5-E13</f>
        <v>-24.39</v>
      </c>
      <c r="F15" s="31" t="n">
        <f aca="false">F5-F13</f>
        <v>279.58</v>
      </c>
      <c r="G15" s="31" t="n">
        <f aca="false">G5-G13</f>
        <v>1060.415</v>
      </c>
      <c r="H15" s="2" t="s">
        <v>140</v>
      </c>
    </row>
    <row r="16" customFormat="false" ht="15" hidden="false" customHeight="false" outlineLevel="0" collapsed="false">
      <c r="A16" s="7" t="s">
        <v>141</v>
      </c>
      <c r="B16" s="2" t="s">
        <v>15</v>
      </c>
      <c r="C16" s="17" t="n">
        <f aca="false">IF(C5=0,0,C15/C5)</f>
        <v>-2.15613231552163</v>
      </c>
      <c r="D16" s="17" t="n">
        <f aca="false">IF(D5=0,0,D15/D5)</f>
        <v>-0.453406400701447</v>
      </c>
      <c r="E16" s="17" t="n">
        <f aca="false">IF(E5=0,0,E15/E5)</f>
        <v>-0.0548706411698537</v>
      </c>
      <c r="F16" s="17" t="n">
        <f aca="false">IF(F5=0,0,F15/F5)</f>
        <v>0.215725308641975</v>
      </c>
      <c r="G16" s="17" t="n">
        <f aca="false">IF(G5=0,0,G15/G5)</f>
        <v>0.363560469700866</v>
      </c>
      <c r="H16" s="2"/>
    </row>
    <row r="17" customFormat="false" ht="15" hidden="false" customHeight="false" outlineLevel="0" collapsed="false">
      <c r="A17" s="7" t="s">
        <v>142</v>
      </c>
      <c r="B17" s="2" t="s">
        <v>43</v>
      </c>
      <c r="C17" s="16" t="n">
        <f aca="false">MAX(0,C15)*Assumptions!C25</f>
        <v>0</v>
      </c>
      <c r="D17" s="16" t="n">
        <f aca="false">MAX(0,D15)*Assumptions!D25</f>
        <v>0</v>
      </c>
      <c r="E17" s="16" t="n">
        <f aca="false">MAX(0,E15)*Assumptions!E25</f>
        <v>0</v>
      </c>
      <c r="F17" s="16" t="n">
        <f aca="false">MAX(0,F15)*Assumptions!F25</f>
        <v>69.895</v>
      </c>
      <c r="G17" s="16" t="n">
        <f aca="false">MAX(0,G15)*Assumptions!G25</f>
        <v>265.10375</v>
      </c>
      <c r="H17" s="2" t="s">
        <v>143</v>
      </c>
    </row>
    <row r="18" customFormat="false" ht="15" hidden="false" customHeight="false" outlineLevel="0" collapsed="false">
      <c r="A18" s="18" t="s">
        <v>144</v>
      </c>
      <c r="B18" s="2" t="s">
        <v>43</v>
      </c>
      <c r="C18" s="26" t="n">
        <f aca="false">C15-C17</f>
        <v>-33.8944</v>
      </c>
      <c r="D18" s="26" t="n">
        <f aca="false">D15-D17</f>
        <v>-51.711</v>
      </c>
      <c r="E18" s="26" t="n">
        <f aca="false">E15-E17</f>
        <v>-24.39</v>
      </c>
      <c r="F18" s="26" t="n">
        <f aca="false">F15-F17</f>
        <v>209.685</v>
      </c>
      <c r="G18" s="26" t="n">
        <f aca="false">G15-G17</f>
        <v>795.31125</v>
      </c>
      <c r="H18" s="2"/>
    </row>
    <row r="19" customFormat="false" ht="15" hidden="false" customHeight="false" outlineLevel="0" collapsed="false">
      <c r="A19" s="5" t="s">
        <v>145</v>
      </c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7" t="s">
        <v>146</v>
      </c>
      <c r="B20" s="2" t="s">
        <v>43</v>
      </c>
      <c r="C20" s="16" t="n">
        <f aca="false">0</f>
        <v>0</v>
      </c>
      <c r="D20" s="16" t="n">
        <f aca="false">C23</f>
        <v>86.1056</v>
      </c>
      <c r="E20" s="16" t="n">
        <f aca="false">D23</f>
        <v>34.3946</v>
      </c>
      <c r="F20" s="16" t="n">
        <f aca="false">E23</f>
        <v>10.0046</v>
      </c>
      <c r="G20" s="16" t="n">
        <f aca="false">F23</f>
        <v>219.6896</v>
      </c>
      <c r="H20" s="2"/>
    </row>
    <row r="21" customFormat="false" ht="15" hidden="false" customHeight="false" outlineLevel="0" collapsed="false">
      <c r="A21" s="7" t="s">
        <v>147</v>
      </c>
      <c r="B21" s="2" t="s">
        <v>43</v>
      </c>
      <c r="C21" s="16" t="n">
        <f aca="false">Assumptions!$C$27</f>
        <v>120</v>
      </c>
      <c r="D21" s="16" t="n">
        <f aca="false">0</f>
        <v>0</v>
      </c>
      <c r="E21" s="16" t="n">
        <f aca="false">0</f>
        <v>0</v>
      </c>
      <c r="F21" s="16" t="n">
        <f aca="false">0</f>
        <v>0</v>
      </c>
      <c r="G21" s="16" t="n">
        <f aca="false">0</f>
        <v>0</v>
      </c>
      <c r="H21" s="2" t="s">
        <v>148</v>
      </c>
    </row>
    <row r="22" customFormat="false" ht="15" hidden="false" customHeight="false" outlineLevel="0" collapsed="false">
      <c r="A22" s="7" t="s">
        <v>144</v>
      </c>
      <c r="B22" s="2" t="s">
        <v>43</v>
      </c>
      <c r="C22" s="16" t="n">
        <f aca="false">C18</f>
        <v>-33.8944</v>
      </c>
      <c r="D22" s="16" t="n">
        <f aca="false">D18</f>
        <v>-51.711</v>
      </c>
      <c r="E22" s="16" t="n">
        <f aca="false">E18</f>
        <v>-24.39</v>
      </c>
      <c r="F22" s="16" t="n">
        <f aca="false">F18</f>
        <v>209.685</v>
      </c>
      <c r="G22" s="16" t="n">
        <f aca="false">G18</f>
        <v>795.31125</v>
      </c>
      <c r="H22" s="2"/>
    </row>
    <row r="23" customFormat="false" ht="15" hidden="false" customHeight="false" outlineLevel="0" collapsed="false">
      <c r="A23" s="29" t="s">
        <v>149</v>
      </c>
      <c r="B23" s="30" t="s">
        <v>43</v>
      </c>
      <c r="C23" s="31" t="n">
        <f aca="false">C20+C21+C22</f>
        <v>86.1056</v>
      </c>
      <c r="D23" s="31" t="n">
        <f aca="false">D20+D21+D22</f>
        <v>34.3946</v>
      </c>
      <c r="E23" s="31" t="n">
        <f aca="false">E20+E21+E22</f>
        <v>10.0046</v>
      </c>
      <c r="F23" s="31" t="n">
        <f aca="false">F20+F21+F22</f>
        <v>219.6896</v>
      </c>
      <c r="G23" s="31" t="n">
        <f aca="false">G20+G21+G22</f>
        <v>1015.00085</v>
      </c>
      <c r="H23" s="2"/>
    </row>
    <row r="24" customFormat="false" ht="15" hidden="false" customHeight="false" outlineLevel="0" collapsed="false">
      <c r="A24" s="7" t="s">
        <v>150</v>
      </c>
      <c r="B24" s="2" t="s">
        <v>43</v>
      </c>
      <c r="C24" s="16" t="n">
        <f aca="false">-MIN(0,SUM($C$18:C18))</f>
        <v>33.8944</v>
      </c>
      <c r="D24" s="16" t="n">
        <f aca="false">-MIN(0,SUM($C$18:D18))</f>
        <v>85.6054</v>
      </c>
      <c r="E24" s="16" t="n">
        <f aca="false">-MIN(0,SUM($C$18:E18))</f>
        <v>109.9954</v>
      </c>
      <c r="F24" s="16" t="n">
        <f aca="false">-MIN(0,SUM($C$18:F18))</f>
        <v>-0</v>
      </c>
      <c r="G24" s="16" t="n">
        <f aca="false">-MIN(0,SUM($C$18:G18))</f>
        <v>-0</v>
      </c>
      <c r="H24" s="2" t="s">
        <v>151</v>
      </c>
    </row>
    <row r="26" customFormat="false" ht="15" hidden="false" customHeight="false" outlineLevel="0" collapsed="false">
      <c r="A26" s="18" t="s">
        <v>152</v>
      </c>
      <c r="C26" s="26" t="n">
        <f aca="false">MIN(C23:G23)</f>
        <v>10.0046</v>
      </c>
      <c r="D26" s="18" t="str">
        <f aca="false">IF(C26&gt;0,"OK – seed covers the plan","Needs bridge funding")</f>
        <v>OK – seed covers the plan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3" t="s">
        <v>70</v>
      </c>
      <c r="B4" s="3" t="s">
        <v>3</v>
      </c>
      <c r="C4" s="4" t="s">
        <v>68</v>
      </c>
      <c r="D4" s="4" t="s">
        <v>155</v>
      </c>
    </row>
    <row r="5" customFormat="false" ht="15" hidden="false" customHeight="false" outlineLevel="0" collapsed="false">
      <c r="A5" s="7" t="s">
        <v>156</v>
      </c>
      <c r="B5" s="2" t="s">
        <v>157</v>
      </c>
      <c r="C5" s="12" t="n">
        <v>45000000</v>
      </c>
      <c r="D5" s="2" t="s">
        <v>158</v>
      </c>
    </row>
    <row r="6" customFormat="false" ht="15" hidden="false" customHeight="false" outlineLevel="0" collapsed="false">
      <c r="A6" s="7" t="s">
        <v>159</v>
      </c>
      <c r="B6" s="2" t="s">
        <v>157</v>
      </c>
      <c r="C6" s="12" t="n">
        <v>11000000</v>
      </c>
      <c r="D6" s="2" t="s">
        <v>160</v>
      </c>
    </row>
    <row r="7" customFormat="false" ht="15" hidden="false" customHeight="false" outlineLevel="0" collapsed="false">
      <c r="A7" s="7" t="s">
        <v>161</v>
      </c>
      <c r="B7" s="2" t="s">
        <v>162</v>
      </c>
      <c r="C7" s="12" t="n">
        <v>48246</v>
      </c>
      <c r="D7" s="2" t="s">
        <v>163</v>
      </c>
    </row>
    <row r="8" customFormat="false" ht="15" hidden="false" customHeight="false" outlineLevel="0" collapsed="false">
      <c r="A8" s="7" t="s">
        <v>164</v>
      </c>
      <c r="B8" s="2" t="s">
        <v>162</v>
      </c>
      <c r="C8" s="12" t="n">
        <v>10000</v>
      </c>
      <c r="D8" s="2" t="s">
        <v>165</v>
      </c>
    </row>
    <row r="9" customFormat="false" ht="15" hidden="false" customHeight="false" outlineLevel="0" collapsed="false">
      <c r="A9" s="7" t="s">
        <v>166</v>
      </c>
      <c r="B9" s="2" t="s">
        <v>20</v>
      </c>
      <c r="C9" s="11" t="n">
        <v>1500</v>
      </c>
      <c r="D9" s="2" t="s">
        <v>167</v>
      </c>
    </row>
    <row r="10" customFormat="false" ht="15" hidden="false" customHeight="false" outlineLevel="0" collapsed="false">
      <c r="A10" s="7" t="s">
        <v>168</v>
      </c>
      <c r="B10" s="2" t="s">
        <v>20</v>
      </c>
      <c r="C10" s="11" t="n">
        <v>150000</v>
      </c>
      <c r="D10" s="2" t="s">
        <v>169</v>
      </c>
    </row>
    <row r="12" customFormat="false" ht="15" hidden="false" customHeight="false" outlineLevel="0" collapsed="false">
      <c r="A12" s="3" t="s">
        <v>170</v>
      </c>
      <c r="B12" s="3" t="s">
        <v>3</v>
      </c>
      <c r="C12" s="4" t="s">
        <v>68</v>
      </c>
      <c r="D12" s="4" t="s">
        <v>171</v>
      </c>
    </row>
    <row r="13" customFormat="false" ht="15" hidden="false" customHeight="false" outlineLevel="0" collapsed="false">
      <c r="A13" s="18" t="s">
        <v>172</v>
      </c>
      <c r="B13" s="2" t="s">
        <v>72</v>
      </c>
      <c r="C13" s="34" t="n">
        <f aca="false">(C5*C9+C7*C10)/Assumptions!$C$32</f>
        <v>7473.69</v>
      </c>
      <c r="D13" s="2" t="s">
        <v>173</v>
      </c>
    </row>
    <row r="14" customFormat="false" ht="15" hidden="false" customHeight="false" outlineLevel="0" collapsed="false">
      <c r="A14" s="18" t="s">
        <v>174</v>
      </c>
      <c r="B14" s="2" t="s">
        <v>72</v>
      </c>
      <c r="C14" s="34" t="n">
        <f aca="false">(C6*C9+C8*C10)/Assumptions!$C$32</f>
        <v>1800</v>
      </c>
      <c r="D14" s="2" t="s">
        <v>175</v>
      </c>
    </row>
    <row r="15" customFormat="false" ht="15" hidden="false" customHeight="false" outlineLevel="0" collapsed="false">
      <c r="A15" s="18" t="s">
        <v>176</v>
      </c>
      <c r="B15" s="2" t="s">
        <v>72</v>
      </c>
      <c r="C15" s="34" t="n">
        <f aca="false">Revenue!G14*Assumptions!$C$31/Assumptions!$C$32</f>
        <v>29.1675</v>
      </c>
      <c r="D15" s="2" t="s">
        <v>177</v>
      </c>
    </row>
    <row r="16" customFormat="false" ht="15" hidden="false" customHeight="false" outlineLevel="0" collapsed="false">
      <c r="A16" s="18" t="s">
        <v>178</v>
      </c>
      <c r="B16" s="2" t="s">
        <v>15</v>
      </c>
      <c r="C16" s="35" t="n">
        <f aca="false">IF(C14=0,0,C15/C14)</f>
        <v>0.0162041666666667</v>
      </c>
      <c r="D16" s="2" t="s">
        <v>179</v>
      </c>
    </row>
    <row r="18" customFormat="false" ht="15" hidden="false" customHeight="false" outlineLevel="0" collapsed="false">
      <c r="A18" s="2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15" hidden="false" customHeight="false" outlineLevel="0" collapsed="false">
      <c r="A4" s="3" t="s">
        <v>183</v>
      </c>
      <c r="B4" s="3" t="s">
        <v>184</v>
      </c>
      <c r="C4" s="4" t="s">
        <v>185</v>
      </c>
      <c r="D4" s="4" t="s">
        <v>186</v>
      </c>
      <c r="E4" s="4" t="s">
        <v>187</v>
      </c>
    </row>
    <row r="5" customFormat="false" ht="15" hidden="false" customHeight="false" outlineLevel="0" collapsed="false">
      <c r="A5" s="36" t="s">
        <v>188</v>
      </c>
      <c r="B5" s="36" t="s">
        <v>189</v>
      </c>
      <c r="C5" s="37" t="n">
        <v>0</v>
      </c>
      <c r="D5" s="36" t="s">
        <v>190</v>
      </c>
      <c r="E5" s="36" t="s">
        <v>191</v>
      </c>
    </row>
    <row r="6" customFormat="false" ht="15" hidden="false" customHeight="false" outlineLevel="0" collapsed="false">
      <c r="A6" s="36" t="s">
        <v>192</v>
      </c>
      <c r="B6" s="36" t="s">
        <v>189</v>
      </c>
      <c r="C6" s="37" t="n">
        <v>149</v>
      </c>
      <c r="D6" s="36" t="s">
        <v>193</v>
      </c>
      <c r="E6" s="36" t="s">
        <v>194</v>
      </c>
    </row>
    <row r="7" customFormat="false" ht="15" hidden="false" customHeight="false" outlineLevel="0" collapsed="false">
      <c r="A7" s="36" t="s">
        <v>195</v>
      </c>
      <c r="B7" s="36" t="s">
        <v>189</v>
      </c>
      <c r="C7" s="37" t="n">
        <v>999</v>
      </c>
      <c r="D7" s="36" t="s">
        <v>196</v>
      </c>
      <c r="E7" s="36" t="s">
        <v>197</v>
      </c>
    </row>
    <row r="8" customFormat="false" ht="15" hidden="false" customHeight="false" outlineLevel="0" collapsed="false">
      <c r="A8" s="36" t="s">
        <v>198</v>
      </c>
      <c r="B8" s="36" t="s">
        <v>189</v>
      </c>
      <c r="C8" s="37" t="n">
        <v>25</v>
      </c>
      <c r="D8" s="36" t="s">
        <v>199</v>
      </c>
      <c r="E8" s="36" t="s">
        <v>200</v>
      </c>
    </row>
    <row r="9" customFormat="false" ht="15" hidden="false" customHeight="false" outlineLevel="0" collapsed="false">
      <c r="A9" s="36" t="s">
        <v>201</v>
      </c>
      <c r="B9" s="36" t="s">
        <v>189</v>
      </c>
      <c r="C9" s="37" t="n">
        <v>99</v>
      </c>
      <c r="D9" s="36" t="s">
        <v>202</v>
      </c>
      <c r="E9" s="36" t="s">
        <v>203</v>
      </c>
    </row>
    <row r="10" customFormat="false" ht="15" hidden="false" customHeight="false" outlineLevel="0" collapsed="false">
      <c r="A10" s="36" t="s">
        <v>204</v>
      </c>
      <c r="B10" s="36" t="s">
        <v>189</v>
      </c>
      <c r="C10" s="37" t="n">
        <v>49</v>
      </c>
      <c r="D10" s="36" t="s">
        <v>205</v>
      </c>
      <c r="E10" s="36" t="s">
        <v>206</v>
      </c>
    </row>
    <row r="11" customFormat="false" ht="15" hidden="false" customHeight="false" outlineLevel="0" collapsed="false">
      <c r="A11" s="36" t="s">
        <v>207</v>
      </c>
      <c r="B11" s="36" t="s">
        <v>189</v>
      </c>
      <c r="C11" s="37" t="n">
        <v>0</v>
      </c>
      <c r="D11" s="36" t="s">
        <v>208</v>
      </c>
      <c r="E11" s="36" t="s">
        <v>209</v>
      </c>
    </row>
    <row r="12" customFormat="false" ht="15" hidden="false" customHeight="false" outlineLevel="0" collapsed="false">
      <c r="A12" s="36" t="s">
        <v>210</v>
      </c>
      <c r="B12" s="36" t="s">
        <v>211</v>
      </c>
      <c r="C12" s="37" t="n">
        <v>300</v>
      </c>
      <c r="D12" s="36" t="s">
        <v>212</v>
      </c>
      <c r="E12" s="36" t="s">
        <v>213</v>
      </c>
    </row>
    <row r="13" customFormat="false" ht="15" hidden="false" customHeight="false" outlineLevel="0" collapsed="false">
      <c r="A13" s="36" t="s">
        <v>214</v>
      </c>
      <c r="B13" s="36" t="s">
        <v>215</v>
      </c>
      <c r="C13" s="37" t="n">
        <v>4999</v>
      </c>
      <c r="D13" s="36" t="s">
        <v>216</v>
      </c>
      <c r="E13" s="36" t="s">
        <v>217</v>
      </c>
    </row>
    <row r="14" customFormat="false" ht="15" hidden="false" customHeight="false" outlineLevel="0" collapsed="false">
      <c r="A14" s="36" t="s">
        <v>218</v>
      </c>
      <c r="B14" s="36" t="s">
        <v>215</v>
      </c>
      <c r="C14" s="37" t="n">
        <v>60000</v>
      </c>
      <c r="D14" s="36" t="s">
        <v>196</v>
      </c>
      <c r="E14" s="36" t="s">
        <v>219</v>
      </c>
    </row>
    <row r="15" customFormat="false" ht="15" hidden="false" customHeight="false" outlineLevel="0" collapsed="false">
      <c r="A15" s="36" t="s">
        <v>220</v>
      </c>
      <c r="B15" s="36" t="s">
        <v>215</v>
      </c>
      <c r="C15" s="37" t="n">
        <v>10000</v>
      </c>
      <c r="D15" s="36" t="s">
        <v>221</v>
      </c>
      <c r="E15" s="36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8" min="4" style="0" width="12"/>
    <col collapsed="false" customWidth="true" hidden="false" outlineLevel="0" max="9" min="9" style="0" width="44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23.85" hidden="false" customHeight="false" outlineLevel="0" collapsed="false">
      <c r="A4" s="3" t="s">
        <v>225</v>
      </c>
      <c r="B4" s="3" t="s">
        <v>226</v>
      </c>
      <c r="C4" s="4" t="s">
        <v>227</v>
      </c>
      <c r="D4" s="4" t="s">
        <v>228</v>
      </c>
      <c r="E4" s="4" t="s">
        <v>229</v>
      </c>
      <c r="F4" s="4" t="s">
        <v>230</v>
      </c>
      <c r="G4" s="4" t="s">
        <v>231</v>
      </c>
      <c r="H4" s="4" t="s">
        <v>232</v>
      </c>
      <c r="I4" s="4" t="s">
        <v>233</v>
      </c>
    </row>
    <row r="5" customFormat="false" ht="23.85" hidden="false" customHeight="false" outlineLevel="0" collapsed="false">
      <c r="A5" s="38" t="s">
        <v>234</v>
      </c>
      <c r="B5" s="38" t="s">
        <v>235</v>
      </c>
      <c r="C5" s="38" t="s">
        <v>236</v>
      </c>
      <c r="D5" s="39" t="s">
        <v>237</v>
      </c>
      <c r="E5" s="39" t="s">
        <v>237</v>
      </c>
      <c r="F5" s="39" t="s">
        <v>237</v>
      </c>
      <c r="G5" s="39" t="s">
        <v>237</v>
      </c>
      <c r="H5" s="39" t="s">
        <v>237</v>
      </c>
      <c r="I5" s="38" t="s">
        <v>190</v>
      </c>
    </row>
    <row r="6" customFormat="false" ht="15" hidden="false" customHeight="false" outlineLevel="0" collapsed="false">
      <c r="A6" s="40" t="s">
        <v>238</v>
      </c>
      <c r="B6" s="40" t="s">
        <v>239</v>
      </c>
      <c r="C6" s="40" t="s">
        <v>240</v>
      </c>
      <c r="D6" s="41" t="s">
        <v>241</v>
      </c>
      <c r="E6" s="41" t="s">
        <v>242</v>
      </c>
      <c r="F6" s="41" t="s">
        <v>242</v>
      </c>
      <c r="G6" s="41" t="s">
        <v>242</v>
      </c>
      <c r="H6" s="41" t="s">
        <v>237</v>
      </c>
      <c r="I6" s="40" t="s">
        <v>243</v>
      </c>
    </row>
    <row r="7" customFormat="false" ht="23.85" hidden="false" customHeight="false" outlineLevel="0" collapsed="false">
      <c r="A7" s="40" t="s">
        <v>244</v>
      </c>
      <c r="B7" s="40" t="s">
        <v>245</v>
      </c>
      <c r="C7" s="40" t="s">
        <v>246</v>
      </c>
      <c r="D7" s="41" t="s">
        <v>242</v>
      </c>
      <c r="E7" s="41" t="s">
        <v>241</v>
      </c>
      <c r="F7" s="41" t="s">
        <v>241</v>
      </c>
      <c r="G7" s="41" t="s">
        <v>237</v>
      </c>
      <c r="H7" s="41" t="s">
        <v>237</v>
      </c>
      <c r="I7" s="40" t="s">
        <v>247</v>
      </c>
    </row>
    <row r="8" customFormat="false" ht="15" hidden="false" customHeight="false" outlineLevel="0" collapsed="false">
      <c r="A8" s="40" t="s">
        <v>248</v>
      </c>
      <c r="B8" s="40" t="s">
        <v>249</v>
      </c>
      <c r="C8" s="40" t="s">
        <v>250</v>
      </c>
      <c r="D8" s="41" t="s">
        <v>242</v>
      </c>
      <c r="E8" s="41" t="s">
        <v>242</v>
      </c>
      <c r="F8" s="41" t="s">
        <v>241</v>
      </c>
      <c r="G8" s="41" t="s">
        <v>242</v>
      </c>
      <c r="H8" s="41" t="s">
        <v>237</v>
      </c>
      <c r="I8" s="40" t="s">
        <v>251</v>
      </c>
    </row>
    <row r="9" customFormat="false" ht="23.85" hidden="false" customHeight="false" outlineLevel="0" collapsed="false">
      <c r="A9" s="40" t="s">
        <v>252</v>
      </c>
      <c r="B9" s="40" t="s">
        <v>253</v>
      </c>
      <c r="C9" s="40" t="s">
        <v>254</v>
      </c>
      <c r="D9" s="41" t="s">
        <v>242</v>
      </c>
      <c r="E9" s="41" t="s">
        <v>242</v>
      </c>
      <c r="F9" s="41" t="s">
        <v>242</v>
      </c>
      <c r="G9" s="41" t="s">
        <v>237</v>
      </c>
      <c r="H9" s="41" t="s">
        <v>237</v>
      </c>
      <c r="I9" s="40" t="s">
        <v>255</v>
      </c>
    </row>
    <row r="10" customFormat="false" ht="15" hidden="false" customHeight="false" outlineLevel="0" collapsed="false">
      <c r="A10" s="40" t="s">
        <v>256</v>
      </c>
      <c r="B10" s="40" t="s">
        <v>257</v>
      </c>
      <c r="C10" s="40" t="s">
        <v>258</v>
      </c>
      <c r="D10" s="41" t="s">
        <v>241</v>
      </c>
      <c r="E10" s="41" t="s">
        <v>237</v>
      </c>
      <c r="F10" s="41" t="s">
        <v>242</v>
      </c>
      <c r="G10" s="41" t="s">
        <v>242</v>
      </c>
      <c r="H10" s="41" t="s">
        <v>242</v>
      </c>
      <c r="I10" s="40" t="s">
        <v>259</v>
      </c>
    </row>
    <row r="11" customFormat="false" ht="15" hidden="false" customHeight="false" outlineLevel="0" collapsed="false">
      <c r="A11" s="40" t="s">
        <v>260</v>
      </c>
      <c r="B11" s="40" t="s">
        <v>261</v>
      </c>
      <c r="C11" s="40" t="s">
        <v>262</v>
      </c>
      <c r="D11" s="41" t="s">
        <v>241</v>
      </c>
      <c r="E11" s="41" t="s">
        <v>241</v>
      </c>
      <c r="F11" s="41" t="s">
        <v>242</v>
      </c>
      <c r="G11" s="41" t="s">
        <v>242</v>
      </c>
      <c r="H11" s="41" t="s">
        <v>242</v>
      </c>
      <c r="I11" s="40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15" hidden="false" customHeight="false" outlineLevel="0" collapsed="false">
      <c r="A4" s="7" t="s">
        <v>266</v>
      </c>
      <c r="B4" s="42" t="s">
        <v>267</v>
      </c>
    </row>
    <row r="5" customFormat="false" ht="15" hidden="false" customHeight="false" outlineLevel="0" collapsed="false">
      <c r="A5" s="7" t="s">
        <v>268</v>
      </c>
      <c r="B5" s="42" t="s">
        <v>269</v>
      </c>
    </row>
    <row r="6" customFormat="false" ht="15" hidden="false" customHeight="false" outlineLevel="0" collapsed="false">
      <c r="A6" s="7" t="s">
        <v>270</v>
      </c>
      <c r="B6" s="42" t="s">
        <v>271</v>
      </c>
    </row>
    <row r="7" customFormat="false" ht="15" hidden="false" customHeight="false" outlineLevel="0" collapsed="false">
      <c r="A7" s="7" t="s">
        <v>272</v>
      </c>
      <c r="B7" s="42" t="s">
        <v>273</v>
      </c>
    </row>
    <row r="8" customFormat="false" ht="15" hidden="false" customHeight="false" outlineLevel="0" collapsed="false">
      <c r="A8" s="7" t="s">
        <v>274</v>
      </c>
      <c r="B8" s="42" t="s">
        <v>275</v>
      </c>
    </row>
    <row r="9" customFormat="false" ht="15" hidden="false" customHeight="false" outlineLevel="0" collapsed="false">
      <c r="A9" s="7" t="s">
        <v>276</v>
      </c>
      <c r="B9" s="42" t="s">
        <v>277</v>
      </c>
    </row>
    <row r="10" customFormat="false" ht="15" hidden="false" customHeight="false" outlineLevel="0" collapsed="false">
      <c r="A10" s="7" t="s">
        <v>278</v>
      </c>
      <c r="B10" s="42" t="s">
        <v>279</v>
      </c>
    </row>
    <row r="11" customFormat="false" ht="15" hidden="false" customHeight="false" outlineLevel="0" collapsed="false">
      <c r="A11" s="7" t="s">
        <v>280</v>
      </c>
      <c r="B11" s="42" t="s">
        <v>281</v>
      </c>
    </row>
    <row r="12" customFormat="false" ht="15" hidden="false" customHeight="false" outlineLevel="0" collapsed="false">
      <c r="A12" s="7" t="s">
        <v>282</v>
      </c>
      <c r="B12" s="42" t="s">
        <v>283</v>
      </c>
    </row>
    <row r="13" customFormat="false" ht="15" hidden="false" customHeight="false" outlineLevel="0" collapsed="false">
      <c r="A13" s="7" t="s">
        <v>284</v>
      </c>
      <c r="B13" s="42" t="s">
        <v>285</v>
      </c>
    </row>
  </sheetData>
  <hyperlinks>
    <hyperlink ref="B4" r:id="rId1" display="https://educationforallinindia.com/all-india-survey-of-higher-education-aishe-2021-22-summary-of-major-findings/"/>
    <hyperlink ref="B5" r:id="rId2" display="https://educationforallinindia.com/analysis-of-aishe-2022-23-and-2023-24-data-by-arun-c-mehta/"/>
    <hyperlink ref="B6" r:id="rId3" display="https://vajiramandravi.com/current-affairs/india-skills-report-2025/"/>
    <hyperlink ref="B7" r:id="rId4" display="https://businessworld.in/article/online-higher-education-and-upskilling-market-to-grow-at-a-cagr-of-231-to-85000-crore-by-fy28-539407"/>
    <hyperlink ref="B8" r:id="rId5" display="https://india.entrepreneur.com/news-and-trends/youth-engagement-and-hiring-platform-unstop-hits-user/486547"/>
    <hyperlink ref="B9" r:id="rId6" display="https://yourstory.com/2022/07/internshala-blog-profitable-intership-skilling-career-tech-startup/amp"/>
    <hyperlink ref="B10" r:id="rId7" display="https://goodspace.ai/guides/naukri-paid-services-worth-it"/>
    <hyperlink ref="B11" r:id="rId8" display="https://www.stork.ai/en/final-round-ai"/>
    <hyperlink ref="B12" r:id="rId9" display="https://www.peoplematters.in/news/skilling/byjus-backed-great-learning-acquires-recruitment-platform-superset-32875"/>
    <hyperlink ref="B13" r:id="rId10" display="https://echai.ventures/startingup/seed-fundraising/how-do-i-actually-value-a-pre-revenue-startup-and-where-does-the-seed-number-come-fr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2026-09-30T07:02:22Z</dcterms:created>
  <dc:creator>openpyxl</dc:creator>
  <dc:description/>
  <dc:language>en-US</dc:language>
  <cp:lastModifiedBy/>
  <dcterms:modified xsi:type="dcterms:W3CDTF">2026-09-30T07:02:22Z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